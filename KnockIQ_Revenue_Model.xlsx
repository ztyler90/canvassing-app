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nthly Projection" sheetId="2" state="visible" r:id="rId4"/>
    <sheet name="Scenarios" sheetId="3" state="visible" r:id="rId5"/>
    <sheet name="Calculat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<sst xmlns="http://schemas.openxmlformats.org/spreadsheetml/2006/main" count="238" uniqueCount="179">
  <si>
    <t xml:space="preserve">KnockIQ — Path to $1M Annual Revenue</t>
  </si>
  <si>
    <t xml:space="preserve">Revenue model &amp; calculator | Adjust blue cells to model your business</t>
  </si>
  <si>
    <t xml:space="preserve">INPUTS &amp; ASSUMPTIONS (edit blue cells)</t>
  </si>
  <si>
    <t xml:space="preserve">Parameter</t>
  </si>
  <si>
    <t xml:space="preserve">Value</t>
  </si>
  <si>
    <t xml:space="preserve">Unit</t>
  </si>
  <si>
    <t xml:space="preserve">Notes</t>
  </si>
  <si>
    <t xml:space="preserve">Basic plan price</t>
  </si>
  <si>
    <t xml:space="preserve">$ / rep / mo</t>
  </si>
  <si>
    <t xml:space="preserve">Minimum tier</t>
  </si>
  <si>
    <t xml:space="preserve">Premium plan price</t>
  </si>
  <si>
    <t xml:space="preserve">Premium tier</t>
  </si>
  <si>
    <t xml:space="preserve">Basic plan customer mix</t>
  </si>
  <si>
    <t xml:space="preserve">%</t>
  </si>
  <si>
    <t xml:space="preserve">75% of customers on basic</t>
  </si>
  <si>
    <t xml:space="preserve">Premium plan customer mix</t>
  </si>
  <si>
    <t xml:space="preserve">Calculated (1 - basic mix)</t>
  </si>
  <si>
    <t xml:space="preserve">Avg door knockers / company</t>
  </si>
  <si>
    <t xml:space="preserve">reps</t>
  </si>
  <si>
    <t xml:space="preserve">Avg reps per paying company</t>
  </si>
  <si>
    <t xml:space="preserve">Monthly churn rate</t>
  </si>
  <si>
    <t xml:space="preserve">% of customers lost each month</t>
  </si>
  <si>
    <t xml:space="preserve">Target ARR</t>
  </si>
  <si>
    <t xml:space="preserve">$</t>
  </si>
  <si>
    <t xml:space="preserve">Annual revenue goal</t>
  </si>
  <si>
    <t xml:space="preserve">Target months</t>
  </si>
  <si>
    <t xml:space="preserve">months</t>
  </si>
  <si>
    <t xml:space="preserve">Timeline to reach goal</t>
  </si>
  <si>
    <t xml:space="preserve">Intern commission rate</t>
  </si>
  <si>
    <t xml:space="preserve">% of revenue paid to intern on his customers</t>
  </si>
  <si>
    <t xml:space="preserve">% of new customers from intern</t>
  </si>
  <si>
    <t xml:space="preserve">Attribution: what share of monthly new signups intern sources</t>
  </si>
  <si>
    <t xml:space="preserve">CALCULATED METRICS (auto)</t>
  </si>
  <si>
    <t xml:space="preserve">Blended price per rep / month</t>
  </si>
  <si>
    <t xml:space="preserve">Weighted by plan mix</t>
  </si>
  <si>
    <t xml:space="preserve">Avg revenue per customer / mo</t>
  </si>
  <si>
    <t xml:space="preserve">Blended ARPA</t>
  </si>
  <si>
    <t xml:space="preserve">Avg revenue per customer / yr</t>
  </si>
  <si>
    <t xml:space="preserve">Annual ARPA</t>
  </si>
  <si>
    <t xml:space="preserve">Target MRR (monthly recurring)</t>
  </si>
  <si>
    <t xml:space="preserve">$1M ARR ÷ 12</t>
  </si>
  <si>
    <t xml:space="preserve">Customers needed at target</t>
  </si>
  <si>
    <t xml:space="preserve">companies</t>
  </si>
  <si>
    <t xml:space="preserve">Paying companies needed</t>
  </si>
  <si>
    <t xml:space="preserve">Total door knockers needed</t>
  </si>
  <si>
    <t xml:space="preserve">Total reps on platform</t>
  </si>
  <si>
    <t xml:space="preserve">INTERN COMMISSION IMPACT @ MONTH 24 (Base Case)</t>
  </si>
  <si>
    <t xml:space="preserve">Gross ARR @ M24 (Base)</t>
  </si>
  <si>
    <t xml:space="preserve">From Monthly Projection</t>
  </si>
  <si>
    <t xml:space="preserve">Intern's attributable ARR @ M24</t>
  </si>
  <si>
    <t xml:space="preserve">ARR from intern-sourced customers</t>
  </si>
  <si>
    <t xml:space="preserve">Annualized commission run-rate @ M24</t>
  </si>
  <si>
    <t xml:space="preserve">Annual commission to intern</t>
  </si>
  <si>
    <t xml:space="preserve">KnockIQ NET ARR @ M24 (after commission)</t>
  </si>
  <si>
    <t xml:space="preserve">Net revenue after intern commission</t>
  </si>
  <si>
    <t xml:space="preserve">Cumulative commission paid (M1-M24)</t>
  </si>
  <si>
    <t xml:space="preserve">Total $ paid to intern over 24 mo</t>
  </si>
  <si>
    <t xml:space="preserve">SCENARIO OUTCOMES @ MONTH 24 (Gross ARR)</t>
  </si>
  <si>
    <t xml:space="preserve">Scenario</t>
  </si>
  <si>
    <t xml:space="preserve">Customers</t>
  </si>
  <si>
    <t xml:space="preserve">MRR</t>
  </si>
  <si>
    <t xml:space="preserve">ARR</t>
  </si>
  <si>
    <t xml:space="preserve">% of $1M target</t>
  </si>
  <si>
    <t xml:space="preserve">Conservative</t>
  </si>
  <si>
    <t xml:space="preserve">Base case</t>
  </si>
  <si>
    <t xml:space="preserve">Aggressive</t>
  </si>
  <si>
    <t xml:space="preserve">How to use this model</t>
  </si>
  <si>
    <t xml:space="preserve">1. Edit blue cells in the INPUTS section to reflect pricing, mix, churn, and goal. Edit orange cells for intern commission settings.</t>
  </si>
  <si>
    <t xml:space="preserve">2. Open 'Monthly Projection' to see the 24-month build for the Base case. Adjust the blue 'New Customers' column to change the ramp.</t>
  </si>
  <si>
    <t xml:space="preserve">3. Open 'Scenarios' to compare Conservative / Base / Aggressive ramp curves side-by-side.</t>
  </si>
  <si>
    <t xml:space="preserve">4. Open 'Calculator' to run sensitivity analysis on churn, pricing mix, avg reps, and target timeline.</t>
  </si>
  <si>
    <t xml:space="preserve">5. The intern earns 20% on revenue from customers HE signs up. Adjust attribution % (B15) to model how much he sources.</t>
  </si>
  <si>
    <t xml:space="preserve">Monthly Projection — Base Case (24 months) | Gross + Net of Intern Commission</t>
  </si>
  <si>
    <t xml:space="preserve">Adjust 'New Customers' column (blue). Intern columns auto-calculate from Dashboard B14 (commission %) &amp; B15 (attribution %).</t>
  </si>
  <si>
    <t xml:space="preserve">GROSS REVENUE BUILD</t>
  </si>
  <si>
    <t xml:space="preserve">INTERN COMMISSION TRACKING</t>
  </si>
  <si>
    <t xml:space="preserve">Month</t>
  </si>
  <si>
    <t xml:space="preserve">M#</t>
  </si>
  <si>
    <t xml:space="preserve">New Cust</t>
  </si>
  <si>
    <t xml:space="preserve">Churned</t>
  </si>
  <si>
    <t xml:space="preserve">Total Cust</t>
  </si>
  <si>
    <t xml:space="preserve">Basic Cust</t>
  </si>
  <si>
    <t xml:space="preserve">Prem Cust</t>
  </si>
  <si>
    <t xml:space="preserve">Total Reps</t>
  </si>
  <si>
    <t xml:space="preserve">Basic MRR</t>
  </si>
  <si>
    <t xml:space="preserve">Prem MRR</t>
  </si>
  <si>
    <t xml:space="preserve">Total MRR</t>
  </si>
  <si>
    <t xml:space="preserve">Gross ARR</t>
  </si>
  <si>
    <t xml:space="preserve">Intern New</t>
  </si>
  <si>
    <t xml:space="preserve">Intern Total Cust</t>
  </si>
  <si>
    <t xml:space="preserve">Intern Attr ARR</t>
  </si>
  <si>
    <t xml:space="preserve">Comm This Mo</t>
  </si>
  <si>
    <t xml:space="preserve">Cum Commission</t>
  </si>
  <si>
    <t xml:space="preserve">KnockIQ Net ARR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</si>
  <si>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</si>
  <si>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</si>
  <si>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</si>
  <si>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</si>
  <si>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</si>
  <si>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</si>
  <si>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</si>
  <si>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</si>
  <si>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</si>
  <si>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</si>
  <si>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</si>
  <si>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</si>
  <si>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</si>
  <si>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</si>
  <si>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</si>
  <si>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</si>
  <si>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</si>
  <si>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</si>
  <si>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</si>
  <si>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</si>
  <si>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</si>
  <si>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</si>
  <si>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</si>
  <si>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</si>
  <si>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TOTAL / END</t>
  </si>
  <si>
    <t xml:space="preserve">Cumulative commission M1-M24</t>
  </si>
  <si>
    <t xml:space="preserve">Scenarios — Conservative vs. Base vs. Aggressive</t>
  </si>
  <si>
    <t xml:space="preserve">Each scenario uses the SAME pricing/churn from Dashboard but a different new-customer ramp. Edit blue cells to test.</t>
  </si>
  <si>
    <t xml:space="preserve">CONSERVATIVE</t>
  </si>
  <si>
    <t xml:space="preserve">BASE CASE</t>
  </si>
  <si>
    <t xml:space="preserve">AGGRESSIVE</t>
  </si>
  <si>
    <t xml:space="preserve">New</t>
  </si>
  <si>
    <t xml:space="preserve">% Tgt</t>
  </si>
  <si>
    <t xml:space="preserve">@ M24 →</t>
  </si>
  <si>
    <t xml:space="preserve">Ramp design notes</t>
  </si>
  <si>
    <t xml:space="preserve">Conservative: Slow start (2/mo), reaches 30 net adds/mo by M24. Tests product-market fit with limited GTM spend.</t>
  </si>
  <si>
    <t xml:space="preserve">Base case: Calibrated to hit ~$1M ARR by M24 with 5% monthly churn. Assumes blended GTM: inbound + 1-2 AEs + paid ads + intern.</t>
  </si>
  <si>
    <t xml:space="preserve">Aggressive: Funded GTM with multiple AEs, heavier ad spend, and partnerships kicking in by M9.</t>
  </si>
  <si>
    <t xml:space="preserve">Note: Scenarios show GROSS ARR. Net of intern commission depends on attribution % (Dashboard B15) — see Monthly Projection tab.</t>
  </si>
  <si>
    <t xml:space="preserve">Sensitivity Calculator — What does it take to hit $1M ARR?</t>
  </si>
  <si>
    <t xml:space="preserve">Each table varies ONE input while holding all others constant (from Dashboard).</t>
  </si>
  <si>
    <t xml:space="preserve">TABLE 1 — Vary Basic-vs-Premium Customer Mix</t>
  </si>
  <si>
    <t xml:space="preserve">Basic mix %</t>
  </si>
  <si>
    <t xml:space="preserve">Premium mix %</t>
  </si>
  <si>
    <t xml:space="preserve">Blended $/rep/mo</t>
  </si>
  <si>
    <t xml:space="preserve">ARPA/mo</t>
  </si>
  <si>
    <t xml:space="preserve">ARPA/year</t>
  </si>
  <si>
    <t xml:space="preserve">Customers needed</t>
  </si>
  <si>
    <t xml:space="preserve">Total reps needed</t>
  </si>
  <si>
    <t xml:space="preserve">vs Base</t>
  </si>
  <si>
    <t xml:space="preserve">TABLE 2 — Vary Avg Door Knockers per Customer</t>
  </si>
  <si>
    <t xml:space="preserve">Avg reps / customer</t>
  </si>
  <si>
    <t xml:space="preserve">MRR @ target</t>
  </si>
  <si>
    <t xml:space="preserve">ARR @ target</t>
  </si>
  <si>
    <t xml:space="preserve">TABLE 3 — Vary Monthly Churn Rate (impact on gross adds required at steady state)</t>
  </si>
  <si>
    <t xml:space="preserve">Monthly churn</t>
  </si>
  <si>
    <t xml:space="preserve">Annual churn (approx)</t>
  </si>
  <si>
    <t xml:space="preserve">Customers @ $1M ARR</t>
  </si>
  <si>
    <t xml:space="preserve">Monthly churned @ target</t>
  </si>
  <si>
    <t xml:space="preserve">Gross adds / mo needed</t>
  </si>
  <si>
    <t xml:space="preserve">Gross adds / yr</t>
  </si>
  <si>
    <t xml:space="preserve">Avg cust life (mo)</t>
  </si>
  <si>
    <t xml:space="preserve">LTV per customer</t>
  </si>
  <si>
    <t xml:space="preserve">TABLE 4 — Avg Monthly Adds Required to Hit $1M ARR by Target Month</t>
  </si>
  <si>
    <t xml:space="preserve">Months to target</t>
  </si>
  <si>
    <t xml:space="preserve">Churn (from Dash)</t>
  </si>
  <si>
    <t xml:space="preserve">Avg monthly net adds</t>
  </si>
  <si>
    <t xml:space="preserve">Approx gross adds/mo</t>
  </si>
  <si>
    <t xml:space="preserve">Approx gross adds/yr</t>
  </si>
  <si>
    <t xml:space="preserve">Reality check</t>
  </si>
  <si>
    <t xml:space="preserve">TABLE 5 — Intern Commission Sensitivity (varying attribution %)</t>
  </si>
  <si>
    <t xml:space="preserve">Intern attribution %</t>
  </si>
  <si>
    <t xml:space="preserve">Comm rate (Dashboard)</t>
  </si>
  <si>
    <t xml:space="preserve">Customers @ $1M</t>
  </si>
  <si>
    <t xml:space="preserve">Intern-sourced cust</t>
  </si>
  <si>
    <t xml:space="preserve">Intern attr ARR @ target</t>
  </si>
  <si>
    <t xml:space="preserve">Annual commission</t>
  </si>
  <si>
    <t xml:space="preserve">KnockIQ NET ARR</t>
  </si>
  <si>
    <t xml:space="preserve">Net % of $1M</t>
  </si>
  <si>
    <t xml:space="preserve">Reading these tables</t>
  </si>
  <si>
    <t xml:space="preserve">TABLE 1: Shifting mix toward premium reduces customer count needed. Moving from 75% basic → 50% basic cuts ~16% off the customer count.</t>
  </si>
  <si>
    <t xml:space="preserve">TABLE 2: Landing larger customers (more reps per company) is the single biggest lever — going from 10 → 20 avg reps cuts customers needed by 50%.</t>
  </si>
  <si>
    <t xml:space="preserve">TABLE 3: At 5% monthly churn you need to replace ~13 customers/mo just to stand still at $1M ARR. LTV scales inversely with churn.</t>
  </si>
  <si>
    <t xml:space="preserve">TABLE 4: At current Dashboard churn, this is the avg monthly gross adds needed by the listed month. &lt;10/mo = inbound-only; 25-50/mo needs funded GTM.</t>
  </si>
  <si>
    <t xml:space="preserve">TABLE 5: Shows the cost of the intern's 20% commission as attribution shifts. At 50% attribution and $1M ARR, intern earns $100K/yr — KnockIQ nets $900K.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</si>
</sst>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#,##0;\(#,##0\);\-"/>
    <numFmt numFmtId="168" formatCode="\$#,##0;&quot;($&quot;#,##0\);\-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ED7D31"/>
        <bgColor rgb="FFFF8080"/>
      </patternFill>
    </fill>
    <fill>
      <patternFill patternType="solid">
        <fgColor rgb="FFA6A6A6"/>
        <bgColor rgb="FFBFBFBF"/>
      </patternFill>
    </fill>
    <fill>
      <patternFill patternType="solid">
        <fgColor rgb="FF38572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/>
    </row>
    <row r="6" customFormat="false" ht="15" hidden="false" customHeight="false" outlineLevel="0" collapsed="false">
      <c r="A6" s="5" t="s">
        <v>7</v>
      </c>
      <c r="B6" s="6" t="n">
        <v>25</v>
      </c>
      <c r="C6" s="7" t="s">
        <v>8</v>
      </c>
      <c r="D6" s="8" t="s">
        <v>9</v>
      </c>
    </row>
    <row r="7" customFormat="false" ht="15" hidden="false" customHeight="false" outlineLevel="0" collapsed="false">
      <c r="A7" s="5" t="s">
        <v>10</v>
      </c>
      <c r="B7" s="6" t="n">
        <v>50</v>
      </c>
      <c r="C7" s="7" t="s">
        <v>8</v>
      </c>
      <c r="D7" s="8" t="s">
        <v>11</v>
      </c>
    </row>
    <row r="8" customFormat="false" ht="15" hidden="false" customHeight="false" outlineLevel="0" collapsed="false">
      <c r="A8" s="5" t="s">
        <v>12</v>
      </c>
      <c r="B8" s="9" t="n">
        <v>0.75</v>
      </c>
      <c r="C8" s="7" t="s">
        <v>13</v>
      </c>
      <c r="D8" s="8" t="s">
        <v>14</v>
      </c>
    </row>
    <row r="9" customFormat="false" ht="15" hidden="false" customHeight="false" outlineLevel="0" collapsed="false">
      <c r="A9" s="5" t="s">
        <v>15</v>
      </c>
      <c r="B9" s="9" t="n">
        <f aca="false">1-B8</f>
        <v>0.25</v>
      </c>
      <c r="C9" s="7" t="s">
        <v>13</v>
      </c>
      <c r="D9" s="8" t="s">
        <v>16</v>
      </c>
    </row>
    <row r="10" customFormat="false" ht="15" hidden="false" customHeight="false" outlineLevel="0" collapsed="false">
      <c r="A10" s="5" t="s">
        <v>17</v>
      </c>
      <c r="B10" s="10" t="n">
        <v>10</v>
      </c>
      <c r="C10" s="7" t="s">
        <v>18</v>
      </c>
      <c r="D10" s="8" t="s">
        <v>19</v>
      </c>
    </row>
    <row r="11" customFormat="false" ht="15" hidden="false" customHeight="false" outlineLevel="0" collapsed="false">
      <c r="A11" s="5" t="s">
        <v>20</v>
      </c>
      <c r="B11" s="9" t="n">
        <v>0.05</v>
      </c>
      <c r="C11" s="7" t="s">
        <v>13</v>
      </c>
      <c r="D11" s="8" t="s">
        <v>21</v>
      </c>
    </row>
    <row r="12" customFormat="false" ht="15" hidden="false" customHeight="false" outlineLevel="0" collapsed="false">
      <c r="A12" s="5" t="s">
        <v>22</v>
      </c>
      <c r="B12" s="11" t="n">
        <v>1000000</v>
      </c>
      <c r="C12" s="7" t="s">
        <v>23</v>
      </c>
      <c r="D12" s="8" t="s">
        <v>24</v>
      </c>
    </row>
    <row r="13" customFormat="false" ht="15" hidden="false" customHeight="false" outlineLevel="0" collapsed="false">
      <c r="A13" s="5" t="s">
        <v>25</v>
      </c>
      <c r="B13" s="10" t="n">
        <v>24</v>
      </c>
      <c r="C13" s="7" t="s">
        <v>26</v>
      </c>
      <c r="D13" s="8" t="s">
        <v>27</v>
      </c>
    </row>
    <row r="14" customFormat="false" ht="15" hidden="false" customHeight="false" outlineLevel="0" collapsed="false">
      <c r="A14" s="5" t="s">
        <v>28</v>
      </c>
      <c r="B14" s="12" t="n">
        <v>0.2</v>
      </c>
      <c r="C14" s="7" t="s">
        <v>13</v>
      </c>
      <c r="D14" s="8" t="s">
        <v>29</v>
      </c>
    </row>
    <row r="15" customFormat="false" ht="15" hidden="false" customHeight="false" outlineLevel="0" collapsed="false">
      <c r="A15" s="5" t="s">
        <v>30</v>
      </c>
      <c r="B15" s="12" t="n">
        <v>0.5</v>
      </c>
      <c r="C15" s="7" t="s">
        <v>13</v>
      </c>
      <c r="D15" s="8" t="s">
        <v>31</v>
      </c>
    </row>
    <row r="17" customFormat="false" ht="15" hidden="false" customHeight="false" outlineLevel="0" collapsed="false">
      <c r="A17" s="3" t="s">
        <v>32</v>
      </c>
      <c r="B17" s="3"/>
      <c r="C17" s="3"/>
      <c r="D17" s="3"/>
      <c r="E17" s="3"/>
    </row>
    <row r="18" customFormat="false" ht="15" hidden="false" customHeight="false" outlineLevel="0" collapsed="false">
      <c r="A18" s="5" t="s">
        <v>33</v>
      </c>
      <c r="B18" s="13" t="n">
        <f aca="false">B6*B8 + B7*B9</f>
        <v>31.25</v>
      </c>
      <c r="C18" s="7" t="s">
        <v>23</v>
      </c>
      <c r="D18" s="5" t="s">
        <v>34</v>
      </c>
    </row>
    <row r="19" customFormat="false" ht="15" hidden="false" customHeight="false" outlineLevel="0" collapsed="false">
      <c r="A19" s="5" t="s">
        <v>35</v>
      </c>
      <c r="B19" s="13" t="n">
        <f aca="false">B18*B10</f>
        <v>312.5</v>
      </c>
      <c r="C19" s="7" t="s">
        <v>23</v>
      </c>
      <c r="D19" s="5" t="s">
        <v>36</v>
      </c>
    </row>
    <row r="20" customFormat="false" ht="15" hidden="false" customHeight="false" outlineLevel="0" collapsed="false">
      <c r="A20" s="5" t="s">
        <v>37</v>
      </c>
      <c r="B20" s="14" t="n">
        <f aca="false">B19*12</f>
        <v>3750</v>
      </c>
      <c r="C20" s="7" t="s">
        <v>23</v>
      </c>
      <c r="D20" s="5" t="s">
        <v>38</v>
      </c>
    </row>
    <row r="21" customFormat="false" ht="15" hidden="false" customHeight="false" outlineLevel="0" collapsed="false">
      <c r="A21" s="5" t="s">
        <v>39</v>
      </c>
      <c r="B21" s="14" t="n">
        <f aca="false">B12/12</f>
        <v>83333.3333333333</v>
      </c>
      <c r="C21" s="7" t="s">
        <v>23</v>
      </c>
      <c r="D21" s="5" t="s">
        <v>40</v>
      </c>
    </row>
    <row r="22" customFormat="false" ht="15" hidden="false" customHeight="false" outlineLevel="0" collapsed="false">
      <c r="A22" s="5" t="s">
        <v>41</v>
      </c>
      <c r="B22" s="15" t="n">
        <f aca="false">B21/B19</f>
        <v>266.666666666667</v>
      </c>
      <c r="C22" s="7" t="s">
        <v>42</v>
      </c>
      <c r="D22" s="5" t="s">
        <v>43</v>
      </c>
    </row>
    <row r="23" customFormat="false" ht="15" hidden="false" customHeight="false" outlineLevel="0" collapsed="false">
      <c r="A23" s="5" t="s">
        <v>44</v>
      </c>
      <c r="B23" s="15" t="n">
        <f aca="false">B22*B10</f>
        <v>2666.66666666667</v>
      </c>
      <c r="C23" s="7" t="s">
        <v>18</v>
      </c>
      <c r="D23" s="5" t="s">
        <v>45</v>
      </c>
    </row>
    <row r="25" customFormat="false" ht="15" hidden="false" customHeight="false" outlineLevel="0" collapsed="false">
      <c r="A25" s="16" t="s">
        <v>46</v>
      </c>
      <c r="B25" s="16"/>
      <c r="C25" s="16"/>
      <c r="D25" s="16"/>
      <c r="E25" s="16"/>
    </row>
    <row r="26" customFormat="false" ht="15" hidden="false" customHeight="false" outlineLevel="0" collapsed="false">
      <c r="A26" s="5" t="s">
        <v>47</v>
      </c>
      <c r="B26" s="17" t="n">
        <f aca="false">'Monthly Projection'!L28</f>
        <v>1461000</v>
      </c>
      <c r="C26" s="7" t="s">
        <v>23</v>
      </c>
      <c r="D26" s="5" t="s">
        <v>48</v>
      </c>
    </row>
    <row r="27" customFormat="false" ht="15" hidden="false" customHeight="false" outlineLevel="0" collapsed="false">
      <c r="A27" s="5" t="s">
        <v>49</v>
      </c>
      <c r="B27" s="17" t="n">
        <f aca="false">'Monthly Projection'!O28</f>
        <v>742500</v>
      </c>
      <c r="C27" s="7" t="s">
        <v>23</v>
      </c>
      <c r="D27" s="5" t="s">
        <v>50</v>
      </c>
    </row>
    <row r="28" customFormat="false" ht="15" hidden="false" customHeight="false" outlineLevel="0" collapsed="false">
      <c r="A28" s="5" t="s">
        <v>51</v>
      </c>
      <c r="B28" s="17" t="n">
        <f aca="false">'Monthly Projection'!P28*12</f>
        <v>148500</v>
      </c>
      <c r="C28" s="7" t="s">
        <v>23</v>
      </c>
      <c r="D28" s="5" t="s">
        <v>52</v>
      </c>
    </row>
    <row r="29" customFormat="false" ht="15" hidden="false" customHeight="false" outlineLevel="0" collapsed="false">
      <c r="A29" s="5" t="s">
        <v>53</v>
      </c>
      <c r="B29" s="17" t="n">
        <f aca="false">'Monthly Projection'!R28</f>
        <v>1312500</v>
      </c>
      <c r="C29" s="7" t="s">
        <v>23</v>
      </c>
      <c r="D29" s="5" t="s">
        <v>54</v>
      </c>
    </row>
    <row r="30" customFormat="false" ht="15" hidden="false" customHeight="false" outlineLevel="0" collapsed="false">
      <c r="A30" s="5" t="s">
        <v>55</v>
      </c>
      <c r="B30" s="17" t="n">
        <f aca="false">'Monthly Projection'!Q31</f>
        <v>98562.5</v>
      </c>
      <c r="C30" s="7" t="s">
        <v>23</v>
      </c>
      <c r="D30" s="5" t="s">
        <v>56</v>
      </c>
    </row>
    <row r="33" customFormat="false" ht="15" hidden="false" customHeight="false" outlineLevel="0" collapsed="false">
      <c r="A33" s="3" t="s">
        <v>57</v>
      </c>
      <c r="B33" s="3"/>
      <c r="C33" s="3"/>
      <c r="D33" s="3"/>
      <c r="E33" s="3"/>
    </row>
    <row r="34" customFormat="false" ht="15" hidden="false" customHeight="false" outlineLevel="0" collapsed="false">
      <c r="A34" s="4" t="s">
        <v>58</v>
      </c>
      <c r="B34" s="4" t="s">
        <v>59</v>
      </c>
      <c r="C34" s="4" t="s">
        <v>60</v>
      </c>
      <c r="D34" s="4" t="s">
        <v>61</v>
      </c>
      <c r="E34" s="4" t="s">
        <v>62</v>
      </c>
    </row>
    <row r="35" customFormat="false" ht="15" hidden="false" customHeight="false" outlineLevel="0" collapsed="false">
      <c r="A35" s="18" t="s">
        <v>63</v>
      </c>
      <c r="B35" s="19" t="n">
        <f aca="false">Scenarios!D29</f>
        <v>212</v>
      </c>
      <c r="C35" s="20" t="n">
        <f aca="false">Scenarios!E29</f>
        <v>66250</v>
      </c>
      <c r="D35" s="20" t="n">
        <f aca="false">Scenarios!F29</f>
        <v>795000</v>
      </c>
      <c r="E35" s="21" t="n">
        <f aca="false">D35/$B$12</f>
        <v>0.795</v>
      </c>
    </row>
    <row r="36" customFormat="false" ht="15" hidden="false" customHeight="false" outlineLevel="0" collapsed="false">
      <c r="A36" s="18" t="s">
        <v>64</v>
      </c>
      <c r="B36" s="19" t="n">
        <f aca="false">Scenarios!I29</f>
        <v>390</v>
      </c>
      <c r="C36" s="20" t="n">
        <f aca="false">Scenarios!J29</f>
        <v>121875</v>
      </c>
      <c r="D36" s="20" t="n">
        <f aca="false">Scenarios!K29</f>
        <v>1462500</v>
      </c>
      <c r="E36" s="21" t="n">
        <f aca="false">D36/$B$12</f>
        <v>1.4625</v>
      </c>
    </row>
    <row r="37" customFormat="false" ht="15" hidden="false" customHeight="false" outlineLevel="0" collapsed="false">
      <c r="A37" s="18" t="s">
        <v>65</v>
      </c>
      <c r="B37" s="19" t="n">
        <f aca="false">Scenarios!M29</f>
        <v>600</v>
      </c>
      <c r="C37" s="20" t="n">
        <f aca="false">Scenarios!N29</f>
        <v>187500</v>
      </c>
      <c r="D37" s="20" t="n">
        <f aca="false">Scenarios!O29</f>
        <v>2250000</v>
      </c>
      <c r="E37" s="21" t="n">
        <f aca="false">D37/$B$12</f>
        <v>2.25</v>
      </c>
    </row>
    <row r="40" customFormat="false" ht="15" hidden="false" customHeight="false" outlineLevel="0" collapsed="false">
      <c r="A40" s="22" t="s">
        <v>66</v>
      </c>
      <c r="B40" s="22"/>
      <c r="C40" s="22"/>
      <c r="D40" s="22"/>
      <c r="E40" s="22"/>
    </row>
    <row r="41" customFormat="false" ht="15" hidden="false" customHeight="true" outlineLevel="0" collapsed="false">
      <c r="A41" s="23" t="s">
        <v>67</v>
      </c>
      <c r="B41" s="23"/>
      <c r="C41" s="23"/>
      <c r="D41" s="23"/>
      <c r="E41" s="23"/>
    </row>
    <row r="42" customFormat="false" ht="26.85" hidden="false" customHeight="true" outlineLevel="0" collapsed="false">
      <c r="A42" s="23" t="s">
        <v>68</v>
      </c>
      <c r="B42" s="23"/>
      <c r="C42" s="23"/>
      <c r="D42" s="23"/>
      <c r="E42" s="23"/>
    </row>
    <row r="43" customFormat="false" ht="15" hidden="false" customHeight="true" outlineLevel="0" collapsed="false">
      <c r="A43" s="23" t="s">
        <v>69</v>
      </c>
      <c r="B43" s="23"/>
      <c r="C43" s="23"/>
      <c r="D43" s="23"/>
      <c r="E43" s="23"/>
    </row>
    <row r="44" customFormat="false" ht="15" hidden="false" customHeight="true" outlineLevel="0" collapsed="false">
      <c r="A44" s="23" t="s">
        <v>70</v>
      </c>
      <c r="B44" s="23"/>
      <c r="C44" s="23"/>
      <c r="D44" s="23"/>
      <c r="E44" s="23"/>
    </row>
    <row r="45" customFormat="false" ht="15" hidden="false" customHeight="true" outlineLevel="0" collapsed="false">
      <c r="A45" s="23" t="s">
        <v>71</v>
      </c>
      <c r="B45" s="23"/>
      <c r="C45" s="23"/>
      <c r="D45" s="23"/>
      <c r="E45" s="23"/>
    </row>
  </sheetData>
  <mergeCells count="12">
    <mergeCell ref="A1:E1"/>
    <mergeCell ref="A2:E2"/>
    <mergeCell ref="A4:E4"/>
    <mergeCell ref="A17:E17"/>
    <mergeCell ref="A25:E25"/>
    <mergeCell ref="A33:E33"/>
    <mergeCell ref="A40:E40"/>
    <mergeCell ref="A41:E41"/>
    <mergeCell ref="A42:E42"/>
    <mergeCell ref="A43:E43"/>
    <mergeCell ref="A44:E44"/>
    <mergeCell ref="A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8" min="6" style="0" width="10"/>
    <col collapsed="false" customWidth="true" hidden="false" outlineLevel="0" max="11" min="9" style="0" width="1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5" min="14" style="0" width="14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15"/>
  </cols>
  <sheetData>
    <row r="1" customFormat="false" ht="27.7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3" t="s">
        <v>74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16" t="s">
        <v>75</v>
      </c>
      <c r="N3" s="16"/>
      <c r="O3" s="16"/>
      <c r="P3" s="16"/>
      <c r="Q3" s="16"/>
      <c r="R3" s="16"/>
    </row>
    <row r="4" customFormat="false" ht="15" hidden="false" customHeight="false" outlineLevel="0" collapsed="false">
      <c r="A4" s="4" t="s">
        <v>76</v>
      </c>
      <c r="B4" s="4" t="s">
        <v>77</v>
      </c>
      <c r="C4" s="4" t="s">
        <v>78</v>
      </c>
      <c r="D4" s="4" t="s">
        <v>79</v>
      </c>
      <c r="E4" s="4" t="s">
        <v>80</v>
      </c>
      <c r="F4" s="4" t="s">
        <v>81</v>
      </c>
      <c r="G4" s="4" t="s">
        <v>82</v>
      </c>
      <c r="H4" s="4" t="s">
        <v>83</v>
      </c>
      <c r="I4" s="4" t="s">
        <v>84</v>
      </c>
      <c r="J4" s="4" t="s">
        <v>85</v>
      </c>
      <c r="K4" s="4" t="s">
        <v>86</v>
      </c>
      <c r="L4" s="4" t="s">
        <v>87</v>
      </c>
      <c r="M4" s="4" t="s">
        <v>88</v>
      </c>
      <c r="N4" s="4" t="s">
        <v>89</v>
      </c>
      <c r="O4" s="4" t="s">
        <v>90</v>
      </c>
      <c r="P4" s="4" t="s">
        <v>91</v>
      </c>
      <c r="Q4" s="4" t="s">
        <v>92</v>
      </c>
      <c r="R4" s="4" t="s">
        <v>93</v>
      </c>
    </row>
    <row r="5" customFormat="false" ht="15" hidden="false" customHeight="false" outlineLevel="0" collapsed="false">
      <c r="A5" s="24" t="s">
        <v>94</v>
      </c>
      <c r="B5" s="24" t="n">
        <v>1</v>
      </c>
      <c r="C5" s="10" t="n">
        <v>3</v>
      </c>
      <c r="D5" s="25" t="n">
        <v>0</v>
      </c>
      <c r="E5" s="15" t="n">
        <f aca="false">C5-D5</f>
        <v>3</v>
      </c>
      <c r="F5" s="25" t="n">
        <f aca="false">ROUND(E5*Dashboard!$B$8,0)</f>
        <v>2</v>
      </c>
      <c r="G5" s="25" t="n">
        <f aca="false">E5-F5</f>
        <v>1</v>
      </c>
      <c r="H5" s="25" t="n">
        <f aca="false">E5*Dashboard!$B$10</f>
        <v>30</v>
      </c>
      <c r="I5" s="26" t="n">
        <f aca="false">F5*Dashboard!$B$10*Dashboard!$B$6</f>
        <v>500</v>
      </c>
      <c r="J5" s="26" t="n">
        <f aca="false">G5*Dashboard!$B$10*Dashboard!$B$7</f>
        <v>500</v>
      </c>
      <c r="K5" s="14" t="n">
        <f aca="false">I5+J5</f>
        <v>1000</v>
      </c>
      <c r="L5" s="14" t="n">
        <f aca="false">K5*12</f>
        <v>12000</v>
      </c>
      <c r="M5" s="27" t="n">
        <f aca="false">ROUND(C5*Dashboard!$B$15,0)</f>
        <v>2</v>
      </c>
      <c r="N5" s="28" t="n">
        <f aca="false">M5</f>
        <v>2</v>
      </c>
      <c r="O5" s="26" t="n">
        <f aca="false">N5*Dashboard!$B$19*12</f>
        <v>7500</v>
      </c>
      <c r="P5" s="26" t="n">
        <f aca="false">N5*Dashboard!$B$19*Dashboard!$B$14</f>
        <v>125</v>
      </c>
      <c r="Q5" s="29" t="n">
        <f aca="false">P5</f>
        <v>125</v>
      </c>
      <c r="R5" s="14" t="n">
        <f aca="false">L5-P5*12</f>
        <v>10500</v>
      </c>
    </row>
    <row r="6" customFormat="false" ht="15" hidden="false" customHeight="false" outlineLevel="0" collapsed="false">
      <c r="A6" s="24" t="s">
        <v>95</v>
      </c>
      <c r="B6" s="24" t="n">
        <v>2</v>
      </c>
      <c r="C6" s="10" t="n">
        <v>3</v>
      </c>
      <c r="D6" s="25" t="n">
        <f aca="false">ROUND(E5*Dashboard!$B$11,0)</f>
        <v>0</v>
      </c>
      <c r="E6" s="15" t="n">
        <f aca="false">E5+C6-D6</f>
        <v>6</v>
      </c>
      <c r="F6" s="25" t="n">
        <f aca="false">ROUND(E6*Dashboard!$B$8,0)</f>
        <v>5</v>
      </c>
      <c r="G6" s="25" t="n">
        <f aca="false">E6-F6</f>
        <v>1</v>
      </c>
      <c r="H6" s="25" t="n">
        <f aca="false">E6*Dashboard!$B$10</f>
        <v>60</v>
      </c>
      <c r="I6" s="26" t="n">
        <f aca="false">F6*Dashboard!$B$10*Dashboard!$B$6</f>
        <v>1250</v>
      </c>
      <c r="J6" s="26" t="n">
        <f aca="false">G6*Dashboard!$B$10*Dashboard!$B$7</f>
        <v>500</v>
      </c>
      <c r="K6" s="14" t="n">
        <f aca="false">I6+J6</f>
        <v>1750</v>
      </c>
      <c r="L6" s="14" t="n">
        <f aca="false">K6*12</f>
        <v>21000</v>
      </c>
      <c r="M6" s="27" t="n">
        <f aca="false">ROUND(C6*Dashboard!$B$15,0)</f>
        <v>2</v>
      </c>
      <c r="N6" s="28" t="n">
        <f aca="false">N5+M6-ROUND(N5*Dashboard!$B$11,0)</f>
        <v>4</v>
      </c>
      <c r="O6" s="26" t="n">
        <f aca="false">N6*Dashboard!$B$19*12</f>
        <v>15000</v>
      </c>
      <c r="P6" s="26" t="n">
        <f aca="false">N6*Dashboard!$B$19*Dashboard!$B$14</f>
        <v>250</v>
      </c>
      <c r="Q6" s="29" t="n">
        <f aca="false">Q5+P6</f>
        <v>375</v>
      </c>
      <c r="R6" s="14" t="n">
        <f aca="false">L6-P6*12</f>
        <v>18000</v>
      </c>
    </row>
    <row r="7" customFormat="false" ht="15" hidden="false" customHeight="false" outlineLevel="0" collapsed="false">
      <c r="A7" s="24" t="s">
        <v>96</v>
      </c>
      <c r="B7" s="24" t="n">
        <v>3</v>
      </c>
      <c r="C7" s="10" t="n">
        <v>3</v>
      </c>
      <c r="D7" s="25" t="n">
        <f aca="false">ROUND(E6*Dashboard!$B$11,0)</f>
        <v>0</v>
      </c>
      <c r="E7" s="15" t="n">
        <f aca="false">E6+C7-D7</f>
        <v>9</v>
      </c>
      <c r="F7" s="25" t="n">
        <f aca="false">ROUND(E7*Dashboard!$B$8,0)</f>
        <v>7</v>
      </c>
      <c r="G7" s="25" t="n">
        <f aca="false">E7-F7</f>
        <v>2</v>
      </c>
      <c r="H7" s="25" t="n">
        <f aca="false">E7*Dashboard!$B$10</f>
        <v>90</v>
      </c>
      <c r="I7" s="26" t="n">
        <f aca="false">F7*Dashboard!$B$10*Dashboard!$B$6</f>
        <v>1750</v>
      </c>
      <c r="J7" s="26" t="n">
        <f aca="false">G7*Dashboard!$B$10*Dashboard!$B$7</f>
        <v>1000</v>
      </c>
      <c r="K7" s="14" t="n">
        <f aca="false">I7+J7</f>
        <v>2750</v>
      </c>
      <c r="L7" s="14" t="n">
        <f aca="false">K7*12</f>
        <v>33000</v>
      </c>
      <c r="M7" s="27" t="n">
        <f aca="false">ROUND(C7*Dashboard!$B$15,0)</f>
        <v>2</v>
      </c>
      <c r="N7" s="28" t="n">
        <f aca="false">N6+M7-ROUND(N6*Dashboard!$B$11,0)</f>
        <v>6</v>
      </c>
      <c r="O7" s="26" t="n">
        <f aca="false">N7*Dashboard!$B$19*12</f>
        <v>22500</v>
      </c>
      <c r="P7" s="26" t="n">
        <f aca="false">N7*Dashboard!$B$19*Dashboard!$B$14</f>
        <v>375</v>
      </c>
      <c r="Q7" s="29" t="n">
        <f aca="false">Q6+P7</f>
        <v>750</v>
      </c>
      <c r="R7" s="14" t="n">
        <f aca="false">L7-P7*12</f>
        <v>28500</v>
      </c>
    </row>
    <row r="8" customFormat="false" ht="15" hidden="false" customHeight="false" outlineLevel="0" collapsed="false">
      <c r="A8" s="24" t="s">
        <v>97</v>
      </c>
      <c r="B8" s="24" t="n">
        <v>4</v>
      </c>
      <c r="C8" s="10" t="n">
        <v>5</v>
      </c>
      <c r="D8" s="25" t="n">
        <f aca="false">ROUND(E7*Dashboard!$B$11,0)</f>
        <v>0</v>
      </c>
      <c r="E8" s="15" t="n">
        <f aca="false">E7+C8-D8</f>
        <v>14</v>
      </c>
      <c r="F8" s="25" t="n">
        <f aca="false">ROUND(E8*Dashboard!$B$8,0)</f>
        <v>11</v>
      </c>
      <c r="G8" s="25" t="n">
        <f aca="false">E8-F8</f>
        <v>3</v>
      </c>
      <c r="H8" s="25" t="n">
        <f aca="false">E8*Dashboard!$B$10</f>
        <v>140</v>
      </c>
      <c r="I8" s="26" t="n">
        <f aca="false">F8*Dashboard!$B$10*Dashboard!$B$6</f>
        <v>2750</v>
      </c>
      <c r="J8" s="26" t="n">
        <f aca="false">G8*Dashboard!$B$10*Dashboard!$B$7</f>
        <v>1500</v>
      </c>
      <c r="K8" s="14" t="n">
        <f aca="false">I8+J8</f>
        <v>4250</v>
      </c>
      <c r="L8" s="14" t="n">
        <f aca="false">K8*12</f>
        <v>51000</v>
      </c>
      <c r="M8" s="27" t="n">
        <f aca="false">ROUND(C8*Dashboard!$B$15,0)</f>
        <v>3</v>
      </c>
      <c r="N8" s="28" t="n">
        <f aca="false">N7+M8-ROUND(N7*Dashboard!$B$11,0)</f>
        <v>9</v>
      </c>
      <c r="O8" s="26" t="n">
        <f aca="false">N8*Dashboard!$B$19*12</f>
        <v>33750</v>
      </c>
      <c r="P8" s="26" t="n">
        <f aca="false">N8*Dashboard!$B$19*Dashboard!$B$14</f>
        <v>562.5</v>
      </c>
      <c r="Q8" s="29" t="n">
        <f aca="false">Q7+P8</f>
        <v>1312.5</v>
      </c>
      <c r="R8" s="14" t="n">
        <f aca="false">L8-P8*12</f>
        <v>44250</v>
      </c>
    </row>
    <row r="9" customFormat="false" ht="15" hidden="false" customHeight="false" outlineLevel="0" collapsed="false">
      <c r="A9" s="24" t="s">
        <v>98</v>
      </c>
      <c r="B9" s="24" t="n">
        <v>5</v>
      </c>
      <c r="C9" s="10" t="n">
        <v>5</v>
      </c>
      <c r="D9" s="25" t="n">
        <f aca="false">ROUND(E8*Dashboard!$B$11,0)</f>
        <v>1</v>
      </c>
      <c r="E9" s="15" t="n">
        <f aca="false">E8+C9-D9</f>
        <v>18</v>
      </c>
      <c r="F9" s="25" t="n">
        <f aca="false">ROUND(E9*Dashboard!$B$8,0)</f>
        <v>14</v>
      </c>
      <c r="G9" s="25" t="n">
        <f aca="false">E9-F9</f>
        <v>4</v>
      </c>
      <c r="H9" s="25" t="n">
        <f aca="false">E9*Dashboard!$B$10</f>
        <v>180</v>
      </c>
      <c r="I9" s="26" t="n">
        <f aca="false">F9*Dashboard!$B$10*Dashboard!$B$6</f>
        <v>3500</v>
      </c>
      <c r="J9" s="26" t="n">
        <f aca="false">G9*Dashboard!$B$10*Dashboard!$B$7</f>
        <v>2000</v>
      </c>
      <c r="K9" s="14" t="n">
        <f aca="false">I9+J9</f>
        <v>5500</v>
      </c>
      <c r="L9" s="14" t="n">
        <f aca="false">K9*12</f>
        <v>66000</v>
      </c>
      <c r="M9" s="27" t="n">
        <f aca="false">ROUND(C9*Dashboard!$B$15,0)</f>
        <v>3</v>
      </c>
      <c r="N9" s="28" t="n">
        <f aca="false">N8+M9-ROUND(N8*Dashboard!$B$11,0)</f>
        <v>12</v>
      </c>
      <c r="O9" s="26" t="n">
        <f aca="false">N9*Dashboard!$B$19*12</f>
        <v>45000</v>
      </c>
      <c r="P9" s="26" t="n">
        <f aca="false">N9*Dashboard!$B$19*Dashboard!$B$14</f>
        <v>750</v>
      </c>
      <c r="Q9" s="29" t="n">
        <f aca="false">Q8+P9</f>
        <v>2062.5</v>
      </c>
      <c r="R9" s="14" t="n">
        <f aca="false">L9-P9*12</f>
        <v>57000</v>
      </c>
    </row>
    <row r="10" customFormat="false" ht="15" hidden="false" customHeight="false" outlineLevel="0" collapsed="false">
      <c r="A10" s="24" t="s">
        <v>99</v>
      </c>
      <c r="B10" s="24" t="n">
        <v>6</v>
      </c>
      <c r="C10" s="10" t="n">
        <v>5</v>
      </c>
      <c r="D10" s="25" t="n">
        <f aca="false">ROUND(E9*Dashboard!$B$11,0)</f>
        <v>1</v>
      </c>
      <c r="E10" s="15" t="n">
        <f aca="false">E9+C10-D10</f>
        <v>22</v>
      </c>
      <c r="F10" s="25" t="n">
        <f aca="false">ROUND(E10*Dashboard!$B$8,0)</f>
        <v>17</v>
      </c>
      <c r="G10" s="25" t="n">
        <f aca="false">E10-F10</f>
        <v>5</v>
      </c>
      <c r="H10" s="25" t="n">
        <f aca="false">E10*Dashboard!$B$10</f>
        <v>220</v>
      </c>
      <c r="I10" s="26" t="n">
        <f aca="false">F10*Dashboard!$B$10*Dashboard!$B$6</f>
        <v>4250</v>
      </c>
      <c r="J10" s="26" t="n">
        <f aca="false">G10*Dashboard!$B$10*Dashboard!$B$7</f>
        <v>2500</v>
      </c>
      <c r="K10" s="14" t="n">
        <f aca="false">I10+J10</f>
        <v>6750</v>
      </c>
      <c r="L10" s="14" t="n">
        <f aca="false">K10*12</f>
        <v>81000</v>
      </c>
      <c r="M10" s="27" t="n">
        <f aca="false">ROUND(C10*Dashboard!$B$15,0)</f>
        <v>3</v>
      </c>
      <c r="N10" s="28" t="n">
        <f aca="false">N9+M10-ROUND(N9*Dashboard!$B$11,0)</f>
        <v>14</v>
      </c>
      <c r="O10" s="26" t="n">
        <f aca="false">N10*Dashboard!$B$19*12</f>
        <v>52500</v>
      </c>
      <c r="P10" s="26" t="n">
        <f aca="false">N10*Dashboard!$B$19*Dashboard!$B$14</f>
        <v>875</v>
      </c>
      <c r="Q10" s="29" t="n">
        <f aca="false">Q9+P10</f>
        <v>2937.5</v>
      </c>
      <c r="R10" s="14" t="n">
        <f aca="false">L10-P10*12</f>
        <v>70500</v>
      </c>
    </row>
    <row r="11" customFormat="false" ht="15" hidden="false" customHeight="false" outlineLevel="0" collapsed="false">
      <c r="A11" s="24" t="s">
        <v>100</v>
      </c>
      <c r="B11" s="24" t="n">
        <v>7</v>
      </c>
      <c r="C11" s="10" t="n">
        <v>8</v>
      </c>
      <c r="D11" s="25" t="n">
        <f aca="false">ROUND(E10*Dashboard!$B$11,0)</f>
        <v>1</v>
      </c>
      <c r="E11" s="15" t="n">
        <f aca="false">E10+C11-D11</f>
        <v>29</v>
      </c>
      <c r="F11" s="25" t="n">
        <f aca="false">ROUND(E11*Dashboard!$B$8,0)</f>
        <v>22</v>
      </c>
      <c r="G11" s="25" t="n">
        <f aca="false">E11-F11</f>
        <v>7</v>
      </c>
      <c r="H11" s="25" t="n">
        <f aca="false">E11*Dashboard!$B$10</f>
        <v>290</v>
      </c>
      <c r="I11" s="26" t="n">
        <f aca="false">F11*Dashboard!$B$10*Dashboard!$B$6</f>
        <v>5500</v>
      </c>
      <c r="J11" s="26" t="n">
        <f aca="false">G11*Dashboard!$B$10*Dashboard!$B$7</f>
        <v>3500</v>
      </c>
      <c r="K11" s="14" t="n">
        <f aca="false">I11+J11</f>
        <v>9000</v>
      </c>
      <c r="L11" s="14" t="n">
        <f aca="false">K11*12</f>
        <v>108000</v>
      </c>
      <c r="M11" s="27" t="n">
        <f aca="false">ROUND(C11*Dashboard!$B$15,0)</f>
        <v>4</v>
      </c>
      <c r="N11" s="28" t="n">
        <f aca="false">N10+M11-ROUND(N10*Dashboard!$B$11,0)</f>
        <v>17</v>
      </c>
      <c r="O11" s="26" t="n">
        <f aca="false">N11*Dashboard!$B$19*12</f>
        <v>63750</v>
      </c>
      <c r="P11" s="26" t="n">
        <f aca="false">N11*Dashboard!$B$19*Dashboard!$B$14</f>
        <v>1062.5</v>
      </c>
      <c r="Q11" s="29" t="n">
        <f aca="false">Q10+P11</f>
        <v>4000</v>
      </c>
      <c r="R11" s="14" t="n">
        <f aca="false">L11-P11*12</f>
        <v>95250</v>
      </c>
    </row>
    <row r="12" customFormat="false" ht="15" hidden="false" customHeight="false" outlineLevel="0" collapsed="false">
      <c r="A12" s="24" t="s">
        <v>101</v>
      </c>
      <c r="B12" s="24" t="n">
        <v>8</v>
      </c>
      <c r="C12" s="10" t="n">
        <v>9</v>
      </c>
      <c r="D12" s="25" t="n">
        <f aca="false">ROUND(E11*Dashboard!$B$11,0)</f>
        <v>1</v>
      </c>
      <c r="E12" s="15" t="n">
        <f aca="false">E11+C12-D12</f>
        <v>37</v>
      </c>
      <c r="F12" s="25" t="n">
        <f aca="false">ROUND(E12*Dashboard!$B$8,0)</f>
        <v>28</v>
      </c>
      <c r="G12" s="25" t="n">
        <f aca="false">E12-F12</f>
        <v>9</v>
      </c>
      <c r="H12" s="25" t="n">
        <f aca="false">E12*Dashboard!$B$10</f>
        <v>370</v>
      </c>
      <c r="I12" s="26" t="n">
        <f aca="false">F12*Dashboard!$B$10*Dashboard!$B$6</f>
        <v>7000</v>
      </c>
      <c r="J12" s="26" t="n">
        <f aca="false">G12*Dashboard!$B$10*Dashboard!$B$7</f>
        <v>4500</v>
      </c>
      <c r="K12" s="14" t="n">
        <f aca="false">I12+J12</f>
        <v>11500</v>
      </c>
      <c r="L12" s="14" t="n">
        <f aca="false">K12*12</f>
        <v>138000</v>
      </c>
      <c r="M12" s="27" t="n">
        <f aca="false">ROUND(C12*Dashboard!$B$15,0)</f>
        <v>5</v>
      </c>
      <c r="N12" s="28" t="n">
        <f aca="false">N11+M12-ROUND(N11*Dashboard!$B$11,0)</f>
        <v>21</v>
      </c>
      <c r="O12" s="26" t="n">
        <f aca="false">N12*Dashboard!$B$19*12</f>
        <v>78750</v>
      </c>
      <c r="P12" s="26" t="n">
        <f aca="false">N12*Dashboard!$B$19*Dashboard!$B$14</f>
        <v>1312.5</v>
      </c>
      <c r="Q12" s="29" t="n">
        <f aca="false">Q11+P12</f>
        <v>5312.5</v>
      </c>
      <c r="R12" s="14" t="n">
        <f aca="false">L12-P12*12</f>
        <v>122250</v>
      </c>
    </row>
    <row r="13" customFormat="false" ht="15" hidden="false" customHeight="false" outlineLevel="0" collapsed="false">
      <c r="A13" s="24" t="s">
        <v>102</v>
      </c>
      <c r="B13" s="24" t="n">
        <v>9</v>
      </c>
      <c r="C13" s="10" t="n">
        <v>10</v>
      </c>
      <c r="D13" s="25" t="n">
        <f aca="false">ROUND(E12*Dashboard!$B$11,0)</f>
        <v>2</v>
      </c>
      <c r="E13" s="15" t="n">
        <f aca="false">E12+C13-D13</f>
        <v>45</v>
      </c>
      <c r="F13" s="25" t="n">
        <f aca="false">ROUND(E13*Dashboard!$B$8,0)</f>
        <v>34</v>
      </c>
      <c r="G13" s="25" t="n">
        <f aca="false">E13-F13</f>
        <v>11</v>
      </c>
      <c r="H13" s="25" t="n">
        <f aca="false">E13*Dashboard!$B$10</f>
        <v>450</v>
      </c>
      <c r="I13" s="26" t="n">
        <f aca="false">F13*Dashboard!$B$10*Dashboard!$B$6</f>
        <v>8500</v>
      </c>
      <c r="J13" s="26" t="n">
        <f aca="false">G13*Dashboard!$B$10*Dashboard!$B$7</f>
        <v>5500</v>
      </c>
      <c r="K13" s="14" t="n">
        <f aca="false">I13+J13</f>
        <v>14000</v>
      </c>
      <c r="L13" s="14" t="n">
        <f aca="false">K13*12</f>
        <v>168000</v>
      </c>
      <c r="M13" s="27" t="n">
        <f aca="false">ROUND(C13*Dashboard!$B$15,0)</f>
        <v>5</v>
      </c>
      <c r="N13" s="28" t="n">
        <f aca="false">N12+M13-ROUND(N12*Dashboard!$B$11,0)</f>
        <v>25</v>
      </c>
      <c r="O13" s="26" t="n">
        <f aca="false">N13*Dashboard!$B$19*12</f>
        <v>93750</v>
      </c>
      <c r="P13" s="26" t="n">
        <f aca="false">N13*Dashboard!$B$19*Dashboard!$B$14</f>
        <v>1562.5</v>
      </c>
      <c r="Q13" s="29" t="n">
        <f aca="false">Q12+P13</f>
        <v>6875</v>
      </c>
      <c r="R13" s="14" t="n">
        <f aca="false">L13-P13*12</f>
        <v>149250</v>
      </c>
    </row>
    <row r="14" customFormat="false" ht="15" hidden="false" customHeight="false" outlineLevel="0" collapsed="false">
      <c r="A14" s="24" t="s">
        <v>103</v>
      </c>
      <c r="B14" s="24" t="n">
        <v>10</v>
      </c>
      <c r="C14" s="10" t="n">
        <v>12</v>
      </c>
      <c r="D14" s="25" t="n">
        <f aca="false">ROUND(E13*Dashboard!$B$11,0)</f>
        <v>2</v>
      </c>
      <c r="E14" s="15" t="n">
        <f aca="false">E13+C14-D14</f>
        <v>55</v>
      </c>
      <c r="F14" s="25" t="n">
        <f aca="false">ROUND(E14*Dashboard!$B$8,0)</f>
        <v>41</v>
      </c>
      <c r="G14" s="25" t="n">
        <f aca="false">E14-F14</f>
        <v>14</v>
      </c>
      <c r="H14" s="25" t="n">
        <f aca="false">E14*Dashboard!$B$10</f>
        <v>550</v>
      </c>
      <c r="I14" s="26" t="n">
        <f aca="false">F14*Dashboard!$B$10*Dashboard!$B$6</f>
        <v>10250</v>
      </c>
      <c r="J14" s="26" t="n">
        <f aca="false">G14*Dashboard!$B$10*Dashboard!$B$7</f>
        <v>7000</v>
      </c>
      <c r="K14" s="14" t="n">
        <f aca="false">I14+J14</f>
        <v>17250</v>
      </c>
      <c r="L14" s="14" t="n">
        <f aca="false">K14*12</f>
        <v>207000</v>
      </c>
      <c r="M14" s="27" t="n">
        <f aca="false">ROUND(C14*Dashboard!$B$15,0)</f>
        <v>6</v>
      </c>
      <c r="N14" s="28" t="n">
        <f aca="false">N13+M14-ROUND(N13*Dashboard!$B$11,0)</f>
        <v>30</v>
      </c>
      <c r="O14" s="26" t="n">
        <f aca="false">N14*Dashboard!$B$19*12</f>
        <v>112500</v>
      </c>
      <c r="P14" s="26" t="n">
        <f aca="false">N14*Dashboard!$B$19*Dashboard!$B$14</f>
        <v>1875</v>
      </c>
      <c r="Q14" s="29" t="n">
        <f aca="false">Q13+P14</f>
        <v>8750</v>
      </c>
      <c r="R14" s="14" t="n">
        <f aca="false">L14-P14*12</f>
        <v>184500</v>
      </c>
    </row>
    <row r="15" customFormat="false" ht="15" hidden="false" customHeight="false" outlineLevel="0" collapsed="false">
      <c r="A15" s="24" t="s">
        <v>104</v>
      </c>
      <c r="B15" s="24" t="n">
        <v>11</v>
      </c>
      <c r="C15" s="10" t="n">
        <v>14</v>
      </c>
      <c r="D15" s="25" t="n">
        <f aca="false">ROUND(E14*Dashboard!$B$11,0)</f>
        <v>3</v>
      </c>
      <c r="E15" s="15" t="n">
        <f aca="false">E14+C15-D15</f>
        <v>66</v>
      </c>
      <c r="F15" s="25" t="n">
        <f aca="false">ROUND(E15*Dashboard!$B$8,0)</f>
        <v>50</v>
      </c>
      <c r="G15" s="25" t="n">
        <f aca="false">E15-F15</f>
        <v>16</v>
      </c>
      <c r="H15" s="25" t="n">
        <f aca="false">E15*Dashboard!$B$10</f>
        <v>660</v>
      </c>
      <c r="I15" s="26" t="n">
        <f aca="false">F15*Dashboard!$B$10*Dashboard!$B$6</f>
        <v>12500</v>
      </c>
      <c r="J15" s="26" t="n">
        <f aca="false">G15*Dashboard!$B$10*Dashboard!$B$7</f>
        <v>8000</v>
      </c>
      <c r="K15" s="14" t="n">
        <f aca="false">I15+J15</f>
        <v>20500</v>
      </c>
      <c r="L15" s="14" t="n">
        <f aca="false">K15*12</f>
        <v>246000</v>
      </c>
      <c r="M15" s="27" t="n">
        <f aca="false">ROUND(C15*Dashboard!$B$15,0)</f>
        <v>7</v>
      </c>
      <c r="N15" s="28" t="n">
        <f aca="false">N14+M15-ROUND(N14*Dashboard!$B$11,0)</f>
        <v>35</v>
      </c>
      <c r="O15" s="26" t="n">
        <f aca="false">N15*Dashboard!$B$19*12</f>
        <v>131250</v>
      </c>
      <c r="P15" s="26" t="n">
        <f aca="false">N15*Dashboard!$B$19*Dashboard!$B$14</f>
        <v>2187.5</v>
      </c>
      <c r="Q15" s="29" t="n">
        <f aca="false">Q14+P15</f>
        <v>10937.5</v>
      </c>
      <c r="R15" s="14" t="n">
        <f aca="false">L15-P15*12</f>
        <v>219750</v>
      </c>
    </row>
    <row r="16" customFormat="false" ht="15" hidden="false" customHeight="false" outlineLevel="0" collapsed="false">
      <c r="A16" s="24" t="s">
        <v>105</v>
      </c>
      <c r="B16" s="24" t="n">
        <v>12</v>
      </c>
      <c r="C16" s="10" t="n">
        <v>16</v>
      </c>
      <c r="D16" s="25" t="n">
        <f aca="false">ROUND(E15*Dashboard!$B$11,0)</f>
        <v>3</v>
      </c>
      <c r="E16" s="15" t="n">
        <f aca="false">E15+C16-D16</f>
        <v>79</v>
      </c>
      <c r="F16" s="25" t="n">
        <f aca="false">ROUND(E16*Dashboard!$B$8,0)</f>
        <v>59</v>
      </c>
      <c r="G16" s="25" t="n">
        <f aca="false">E16-F16</f>
        <v>20</v>
      </c>
      <c r="H16" s="25" t="n">
        <f aca="false">E16*Dashboard!$B$10</f>
        <v>790</v>
      </c>
      <c r="I16" s="26" t="n">
        <f aca="false">F16*Dashboard!$B$10*Dashboard!$B$6</f>
        <v>14750</v>
      </c>
      <c r="J16" s="26" t="n">
        <f aca="false">G16*Dashboard!$B$10*Dashboard!$B$7</f>
        <v>10000</v>
      </c>
      <c r="K16" s="14" t="n">
        <f aca="false">I16+J16</f>
        <v>24750</v>
      </c>
      <c r="L16" s="14" t="n">
        <f aca="false">K16*12</f>
        <v>297000</v>
      </c>
      <c r="M16" s="27" t="n">
        <f aca="false">ROUND(C16*Dashboard!$B$15,0)</f>
        <v>8</v>
      </c>
      <c r="N16" s="28" t="n">
        <f aca="false">N15+M16-ROUND(N15*Dashboard!$B$11,0)</f>
        <v>41</v>
      </c>
      <c r="O16" s="26" t="n">
        <f aca="false">N16*Dashboard!$B$19*12</f>
        <v>153750</v>
      </c>
      <c r="P16" s="26" t="n">
        <f aca="false">N16*Dashboard!$B$19*Dashboard!$B$14</f>
        <v>2562.5</v>
      </c>
      <c r="Q16" s="29" t="n">
        <f aca="false">Q15+P16</f>
        <v>13500</v>
      </c>
      <c r="R16" s="14" t="n">
        <f aca="false">L16-P16*12</f>
        <v>266250</v>
      </c>
    </row>
    <row r="17" customFormat="false" ht="15" hidden="false" customHeight="false" outlineLevel="0" collapsed="false">
      <c r="A17" s="24" t="s">
        <v>106</v>
      </c>
      <c r="B17" s="24" t="n">
        <v>13</v>
      </c>
      <c r="C17" s="10" t="n">
        <v>18</v>
      </c>
      <c r="D17" s="25" t="n">
        <f aca="false">ROUND(E16*Dashboard!$B$11,0)</f>
        <v>4</v>
      </c>
      <c r="E17" s="15" t="n">
        <f aca="false">E16+C17-D17</f>
        <v>93</v>
      </c>
      <c r="F17" s="25" t="n">
        <f aca="false">ROUND(E17*Dashboard!$B$8,0)</f>
        <v>70</v>
      </c>
      <c r="G17" s="25" t="n">
        <f aca="false">E17-F17</f>
        <v>23</v>
      </c>
      <c r="H17" s="25" t="n">
        <f aca="false">E17*Dashboard!$B$10</f>
        <v>930</v>
      </c>
      <c r="I17" s="26" t="n">
        <f aca="false">F17*Dashboard!$B$10*Dashboard!$B$6</f>
        <v>17500</v>
      </c>
      <c r="J17" s="26" t="n">
        <f aca="false">G17*Dashboard!$B$10*Dashboard!$B$7</f>
        <v>11500</v>
      </c>
      <c r="K17" s="14" t="n">
        <f aca="false">I17+J17</f>
        <v>29000</v>
      </c>
      <c r="L17" s="14" t="n">
        <f aca="false">K17*12</f>
        <v>348000</v>
      </c>
      <c r="M17" s="27" t="n">
        <f aca="false">ROUND(C17*Dashboard!$B$15,0)</f>
        <v>9</v>
      </c>
      <c r="N17" s="28" t="n">
        <f aca="false">N16+M17-ROUND(N16*Dashboard!$B$11,0)</f>
        <v>48</v>
      </c>
      <c r="O17" s="26" t="n">
        <f aca="false">N17*Dashboard!$B$19*12</f>
        <v>180000</v>
      </c>
      <c r="P17" s="26" t="n">
        <f aca="false">N17*Dashboard!$B$19*Dashboard!$B$14</f>
        <v>3000</v>
      </c>
      <c r="Q17" s="29" t="n">
        <f aca="false">Q16+P17</f>
        <v>16500</v>
      </c>
      <c r="R17" s="14" t="n">
        <f aca="false">L17-P17*12</f>
        <v>312000</v>
      </c>
    </row>
    <row r="18" customFormat="false" ht="15" hidden="false" customHeight="false" outlineLevel="0" collapsed="false">
      <c r="A18" s="24" t="s">
        <v>107</v>
      </c>
      <c r="B18" s="24" t="n">
        <v>14</v>
      </c>
      <c r="C18" s="10" t="n">
        <v>21</v>
      </c>
      <c r="D18" s="25" t="n">
        <f aca="false">ROUND(E17*Dashboard!$B$11,0)</f>
        <v>5</v>
      </c>
      <c r="E18" s="15" t="n">
        <f aca="false">E17+C18-D18</f>
        <v>109</v>
      </c>
      <c r="F18" s="25" t="n">
        <f aca="false">ROUND(E18*Dashboard!$B$8,0)</f>
        <v>82</v>
      </c>
      <c r="G18" s="25" t="n">
        <f aca="false">E18-F18</f>
        <v>27</v>
      </c>
      <c r="H18" s="25" t="n">
        <f aca="false">E18*Dashboard!$B$10</f>
        <v>1090</v>
      </c>
      <c r="I18" s="26" t="n">
        <f aca="false">F18*Dashboard!$B$10*Dashboard!$B$6</f>
        <v>20500</v>
      </c>
      <c r="J18" s="26" t="n">
        <f aca="false">G18*Dashboard!$B$10*Dashboard!$B$7</f>
        <v>13500</v>
      </c>
      <c r="K18" s="14" t="n">
        <f aca="false">I18+J18</f>
        <v>34000</v>
      </c>
      <c r="L18" s="14" t="n">
        <f aca="false">K18*12</f>
        <v>408000</v>
      </c>
      <c r="M18" s="27" t="n">
        <f aca="false">ROUND(C18*Dashboard!$B$15,0)</f>
        <v>11</v>
      </c>
      <c r="N18" s="28" t="n">
        <f aca="false">N17+M18-ROUND(N17*Dashboard!$B$11,0)</f>
        <v>57</v>
      </c>
      <c r="O18" s="26" t="n">
        <f aca="false">N18*Dashboard!$B$19*12</f>
        <v>213750</v>
      </c>
      <c r="P18" s="26" t="n">
        <f aca="false">N18*Dashboard!$B$19*Dashboard!$B$14</f>
        <v>3562.5</v>
      </c>
      <c r="Q18" s="29" t="n">
        <f aca="false">Q17+P18</f>
        <v>20062.5</v>
      </c>
      <c r="R18" s="14" t="n">
        <f aca="false">L18-P18*12</f>
        <v>365250</v>
      </c>
    </row>
    <row r="19" customFormat="false" ht="15" hidden="false" customHeight="false" outlineLevel="0" collapsed="false">
      <c r="A19" s="24" t="s">
        <v>108</v>
      </c>
      <c r="B19" s="24" t="n">
        <v>15</v>
      </c>
      <c r="C19" s="10" t="n">
        <v>24</v>
      </c>
      <c r="D19" s="25" t="n">
        <f aca="false">ROUND(E18*Dashboard!$B$11,0)</f>
        <v>5</v>
      </c>
      <c r="E19" s="15" t="n">
        <f aca="false">E18+C19-D19</f>
        <v>128</v>
      </c>
      <c r="F19" s="25" t="n">
        <f aca="false">ROUND(E19*Dashboard!$B$8,0)</f>
        <v>96</v>
      </c>
      <c r="G19" s="25" t="n">
        <f aca="false">E19-F19</f>
        <v>32</v>
      </c>
      <c r="H19" s="25" t="n">
        <f aca="false">E19*Dashboard!$B$10</f>
        <v>1280</v>
      </c>
      <c r="I19" s="26" t="n">
        <f aca="false">F19*Dashboard!$B$10*Dashboard!$B$6</f>
        <v>24000</v>
      </c>
      <c r="J19" s="26" t="n">
        <f aca="false">G19*Dashboard!$B$10*Dashboard!$B$7</f>
        <v>16000</v>
      </c>
      <c r="K19" s="14" t="n">
        <f aca="false">I19+J19</f>
        <v>40000</v>
      </c>
      <c r="L19" s="14" t="n">
        <f aca="false">K19*12</f>
        <v>480000</v>
      </c>
      <c r="M19" s="27" t="n">
        <f aca="false">ROUND(C19*Dashboard!$B$15,0)</f>
        <v>12</v>
      </c>
      <c r="N19" s="28" t="n">
        <f aca="false">N18+M19-ROUND(N18*Dashboard!$B$11,0)</f>
        <v>66</v>
      </c>
      <c r="O19" s="26" t="n">
        <f aca="false">N19*Dashboard!$B$19*12</f>
        <v>247500</v>
      </c>
      <c r="P19" s="26" t="n">
        <f aca="false">N19*Dashboard!$B$19*Dashboard!$B$14</f>
        <v>4125</v>
      </c>
      <c r="Q19" s="29" t="n">
        <f aca="false">Q18+P19</f>
        <v>24187.5</v>
      </c>
      <c r="R19" s="14" t="n">
        <f aca="false">L19-P19*12</f>
        <v>430500</v>
      </c>
    </row>
    <row r="20" customFormat="false" ht="15" hidden="false" customHeight="false" outlineLevel="0" collapsed="false">
      <c r="A20" s="24" t="s">
        <v>109</v>
      </c>
      <c r="B20" s="24" t="n">
        <v>16</v>
      </c>
      <c r="C20" s="10" t="n">
        <v>27</v>
      </c>
      <c r="D20" s="25" t="n">
        <f aca="false">ROUND(E19*Dashboard!$B$11,0)</f>
        <v>6</v>
      </c>
      <c r="E20" s="15" t="n">
        <f aca="false">E19+C20-D20</f>
        <v>149</v>
      </c>
      <c r="F20" s="25" t="n">
        <f aca="false">ROUND(E20*Dashboard!$B$8,0)</f>
        <v>112</v>
      </c>
      <c r="G20" s="25" t="n">
        <f aca="false">E20-F20</f>
        <v>37</v>
      </c>
      <c r="H20" s="25" t="n">
        <f aca="false">E20*Dashboard!$B$10</f>
        <v>1490</v>
      </c>
      <c r="I20" s="26" t="n">
        <f aca="false">F20*Dashboard!$B$10*Dashboard!$B$6</f>
        <v>28000</v>
      </c>
      <c r="J20" s="26" t="n">
        <f aca="false">G20*Dashboard!$B$10*Dashboard!$B$7</f>
        <v>18500</v>
      </c>
      <c r="K20" s="14" t="n">
        <f aca="false">I20+J20</f>
        <v>46500</v>
      </c>
      <c r="L20" s="14" t="n">
        <f aca="false">K20*12</f>
        <v>558000</v>
      </c>
      <c r="M20" s="27" t="n">
        <f aca="false">ROUND(C20*Dashboard!$B$15,0)</f>
        <v>14</v>
      </c>
      <c r="N20" s="28" t="n">
        <f aca="false">N19+M20-ROUND(N19*Dashboard!$B$11,0)</f>
        <v>77</v>
      </c>
      <c r="O20" s="26" t="n">
        <f aca="false">N20*Dashboard!$B$19*12</f>
        <v>288750</v>
      </c>
      <c r="P20" s="26" t="n">
        <f aca="false">N20*Dashboard!$B$19*Dashboard!$B$14</f>
        <v>4812.5</v>
      </c>
      <c r="Q20" s="29" t="n">
        <f aca="false">Q19+P20</f>
        <v>29000</v>
      </c>
      <c r="R20" s="14" t="n">
        <f aca="false">L20-P20*12</f>
        <v>500250</v>
      </c>
    </row>
    <row r="21" customFormat="false" ht="15" hidden="false" customHeight="false" outlineLevel="0" collapsed="false">
      <c r="A21" s="24" t="s">
        <v>110</v>
      </c>
      <c r="B21" s="24" t="n">
        <v>17</v>
      </c>
      <c r="C21" s="10" t="n">
        <v>30</v>
      </c>
      <c r="D21" s="25" t="n">
        <f aca="false">ROUND(E20*Dashboard!$B$11,0)</f>
        <v>7</v>
      </c>
      <c r="E21" s="15" t="n">
        <f aca="false">E20+C21-D21</f>
        <v>172</v>
      </c>
      <c r="F21" s="25" t="n">
        <f aca="false">ROUND(E21*Dashboard!$B$8,0)</f>
        <v>129</v>
      </c>
      <c r="G21" s="25" t="n">
        <f aca="false">E21-F21</f>
        <v>43</v>
      </c>
      <c r="H21" s="25" t="n">
        <f aca="false">E21*Dashboard!$B$10</f>
        <v>1720</v>
      </c>
      <c r="I21" s="26" t="n">
        <f aca="false">F21*Dashboard!$B$10*Dashboard!$B$6</f>
        <v>32250</v>
      </c>
      <c r="J21" s="26" t="n">
        <f aca="false">G21*Dashboard!$B$10*Dashboard!$B$7</f>
        <v>21500</v>
      </c>
      <c r="K21" s="14" t="n">
        <f aca="false">I21+J21</f>
        <v>53750</v>
      </c>
      <c r="L21" s="14" t="n">
        <f aca="false">K21*12</f>
        <v>645000</v>
      </c>
      <c r="M21" s="27" t="n">
        <f aca="false">ROUND(C21*Dashboard!$B$15,0)</f>
        <v>15</v>
      </c>
      <c r="N21" s="28" t="n">
        <f aca="false">N20+M21-ROUND(N20*Dashboard!$B$11,0)</f>
        <v>88</v>
      </c>
      <c r="O21" s="26" t="n">
        <f aca="false">N21*Dashboard!$B$19*12</f>
        <v>330000</v>
      </c>
      <c r="P21" s="26" t="n">
        <f aca="false">N21*Dashboard!$B$19*Dashboard!$B$14</f>
        <v>5500</v>
      </c>
      <c r="Q21" s="29" t="n">
        <f aca="false">Q20+P21</f>
        <v>34500</v>
      </c>
      <c r="R21" s="14" t="n">
        <f aca="false">L21-P21*12</f>
        <v>579000</v>
      </c>
    </row>
    <row r="22" customFormat="false" ht="15" hidden="false" customHeight="false" outlineLevel="0" collapsed="false">
      <c r="A22" s="24" t="s">
        <v>111</v>
      </c>
      <c r="B22" s="24" t="n">
        <v>18</v>
      </c>
      <c r="C22" s="10" t="n">
        <v>33</v>
      </c>
      <c r="D22" s="25" t="n">
        <f aca="false">ROUND(E21*Dashboard!$B$11,0)</f>
        <v>9</v>
      </c>
      <c r="E22" s="15" t="n">
        <f aca="false">E21+C22-D22</f>
        <v>196</v>
      </c>
      <c r="F22" s="25" t="n">
        <f aca="false">ROUND(E22*Dashboard!$B$8,0)</f>
        <v>147</v>
      </c>
      <c r="G22" s="25" t="n">
        <f aca="false">E22-F22</f>
        <v>49</v>
      </c>
      <c r="H22" s="25" t="n">
        <f aca="false">E22*Dashboard!$B$10</f>
        <v>1960</v>
      </c>
      <c r="I22" s="26" t="n">
        <f aca="false">F22*Dashboard!$B$10*Dashboard!$B$6</f>
        <v>36750</v>
      </c>
      <c r="J22" s="26" t="n">
        <f aca="false">G22*Dashboard!$B$10*Dashboard!$B$7</f>
        <v>24500</v>
      </c>
      <c r="K22" s="14" t="n">
        <f aca="false">I22+J22</f>
        <v>61250</v>
      </c>
      <c r="L22" s="14" t="n">
        <f aca="false">K22*12</f>
        <v>735000</v>
      </c>
      <c r="M22" s="27" t="n">
        <f aca="false">ROUND(C22*Dashboard!$B$15,0)</f>
        <v>17</v>
      </c>
      <c r="N22" s="28" t="n">
        <f aca="false">N21+M22-ROUND(N21*Dashboard!$B$11,0)</f>
        <v>101</v>
      </c>
      <c r="O22" s="26" t="n">
        <f aca="false">N22*Dashboard!$B$19*12</f>
        <v>378750</v>
      </c>
      <c r="P22" s="26" t="n">
        <f aca="false">N22*Dashboard!$B$19*Dashboard!$B$14</f>
        <v>6312.5</v>
      </c>
      <c r="Q22" s="29" t="n">
        <f aca="false">Q21+P22</f>
        <v>40812.5</v>
      </c>
      <c r="R22" s="14" t="n">
        <f aca="false">L22-P22*12</f>
        <v>659250</v>
      </c>
    </row>
    <row r="23" customFormat="false" ht="15" hidden="false" customHeight="false" outlineLevel="0" collapsed="false">
      <c r="A23" s="24" t="s">
        <v>112</v>
      </c>
      <c r="B23" s="24" t="n">
        <v>19</v>
      </c>
      <c r="C23" s="10" t="n">
        <v>36</v>
      </c>
      <c r="D23" s="25" t="n">
        <f aca="false">ROUND(E22*Dashboard!$B$11,0)</f>
        <v>10</v>
      </c>
      <c r="E23" s="15" t="n">
        <f aca="false">E22+C23-D23</f>
        <v>222</v>
      </c>
      <c r="F23" s="25" t="n">
        <f aca="false">ROUND(E23*Dashboard!$B$8,0)</f>
        <v>167</v>
      </c>
      <c r="G23" s="25" t="n">
        <f aca="false">E23-F23</f>
        <v>55</v>
      </c>
      <c r="H23" s="25" t="n">
        <f aca="false">E23*Dashboard!$B$10</f>
        <v>2220</v>
      </c>
      <c r="I23" s="26" t="n">
        <f aca="false">F23*Dashboard!$B$10*Dashboard!$B$6</f>
        <v>41750</v>
      </c>
      <c r="J23" s="26" t="n">
        <f aca="false">G23*Dashboard!$B$10*Dashboard!$B$7</f>
        <v>27500</v>
      </c>
      <c r="K23" s="14" t="n">
        <f aca="false">I23+J23</f>
        <v>69250</v>
      </c>
      <c r="L23" s="14" t="n">
        <f aca="false">K23*12</f>
        <v>831000</v>
      </c>
      <c r="M23" s="27" t="n">
        <f aca="false">ROUND(C23*Dashboard!$B$15,0)</f>
        <v>18</v>
      </c>
      <c r="N23" s="28" t="n">
        <f aca="false">N22+M23-ROUND(N22*Dashboard!$B$11,0)</f>
        <v>114</v>
      </c>
      <c r="O23" s="26" t="n">
        <f aca="false">N23*Dashboard!$B$19*12</f>
        <v>427500</v>
      </c>
      <c r="P23" s="26" t="n">
        <f aca="false">N23*Dashboard!$B$19*Dashboard!$B$14</f>
        <v>7125</v>
      </c>
      <c r="Q23" s="29" t="n">
        <f aca="false">Q22+P23</f>
        <v>47937.5</v>
      </c>
      <c r="R23" s="14" t="n">
        <f aca="false">L23-P23*12</f>
        <v>745500</v>
      </c>
    </row>
    <row r="24" customFormat="false" ht="15" hidden="false" customHeight="false" outlineLevel="0" collapsed="false">
      <c r="A24" s="24" t="s">
        <v>113</v>
      </c>
      <c r="B24" s="24" t="n">
        <v>20</v>
      </c>
      <c r="C24" s="10" t="n">
        <v>40</v>
      </c>
      <c r="D24" s="25" t="n">
        <f aca="false">ROUND(E23*Dashboard!$B$11,0)</f>
        <v>11</v>
      </c>
      <c r="E24" s="15" t="n">
        <f aca="false">E23+C24-D24</f>
        <v>251</v>
      </c>
      <c r="F24" s="25" t="n">
        <f aca="false">ROUND(E24*Dashboard!$B$8,0)</f>
        <v>188</v>
      </c>
      <c r="G24" s="25" t="n">
        <f aca="false">E24-F24</f>
        <v>63</v>
      </c>
      <c r="H24" s="25" t="n">
        <f aca="false">E24*Dashboard!$B$10</f>
        <v>2510</v>
      </c>
      <c r="I24" s="26" t="n">
        <f aca="false">F24*Dashboard!$B$10*Dashboard!$B$6</f>
        <v>47000</v>
      </c>
      <c r="J24" s="26" t="n">
        <f aca="false">G24*Dashboard!$B$10*Dashboard!$B$7</f>
        <v>31500</v>
      </c>
      <c r="K24" s="14" t="n">
        <f aca="false">I24+J24</f>
        <v>78500</v>
      </c>
      <c r="L24" s="14" t="n">
        <f aca="false">K24*12</f>
        <v>942000</v>
      </c>
      <c r="M24" s="27" t="n">
        <f aca="false">ROUND(C24*Dashboard!$B$15,0)</f>
        <v>20</v>
      </c>
      <c r="N24" s="28" t="n">
        <f aca="false">N23+M24-ROUND(N23*Dashboard!$B$11,0)</f>
        <v>128</v>
      </c>
      <c r="O24" s="26" t="n">
        <f aca="false">N24*Dashboard!$B$19*12</f>
        <v>480000</v>
      </c>
      <c r="P24" s="26" t="n">
        <f aca="false">N24*Dashboard!$B$19*Dashboard!$B$14</f>
        <v>8000</v>
      </c>
      <c r="Q24" s="29" t="n">
        <f aca="false">Q23+P24</f>
        <v>55937.5</v>
      </c>
      <c r="R24" s="14" t="n">
        <f aca="false">L24-P24*12</f>
        <v>846000</v>
      </c>
    </row>
    <row r="25" customFormat="false" ht="15" hidden="false" customHeight="false" outlineLevel="0" collapsed="false">
      <c r="A25" s="24" t="s">
        <v>114</v>
      </c>
      <c r="B25" s="24" t="n">
        <v>21</v>
      </c>
      <c r="C25" s="10" t="n">
        <v>44</v>
      </c>
      <c r="D25" s="25" t="n">
        <f aca="false">ROUND(E24*Dashboard!$B$11,0)</f>
        <v>13</v>
      </c>
      <c r="E25" s="15" t="n">
        <f aca="false">E24+C25-D25</f>
        <v>282</v>
      </c>
      <c r="F25" s="25" t="n">
        <f aca="false">ROUND(E25*Dashboard!$B$8,0)</f>
        <v>212</v>
      </c>
      <c r="G25" s="25" t="n">
        <f aca="false">E25-F25</f>
        <v>70</v>
      </c>
      <c r="H25" s="25" t="n">
        <f aca="false">E25*Dashboard!$B$10</f>
        <v>2820</v>
      </c>
      <c r="I25" s="26" t="n">
        <f aca="false">F25*Dashboard!$B$10*Dashboard!$B$6</f>
        <v>53000</v>
      </c>
      <c r="J25" s="26" t="n">
        <f aca="false">G25*Dashboard!$B$10*Dashboard!$B$7</f>
        <v>35000</v>
      </c>
      <c r="K25" s="14" t="n">
        <f aca="false">I25+J25</f>
        <v>88000</v>
      </c>
      <c r="L25" s="14" t="n">
        <f aca="false">K25*12</f>
        <v>1056000</v>
      </c>
      <c r="M25" s="27" t="n">
        <f aca="false">ROUND(C25*Dashboard!$B$15,0)</f>
        <v>22</v>
      </c>
      <c r="N25" s="28" t="n">
        <f aca="false">N24+M25-ROUND(N24*Dashboard!$B$11,0)</f>
        <v>144</v>
      </c>
      <c r="O25" s="26" t="n">
        <f aca="false">N25*Dashboard!$B$19*12</f>
        <v>540000</v>
      </c>
      <c r="P25" s="26" t="n">
        <f aca="false">N25*Dashboard!$B$19*Dashboard!$B$14</f>
        <v>9000</v>
      </c>
      <c r="Q25" s="29" t="n">
        <f aca="false">Q24+P25</f>
        <v>64937.5</v>
      </c>
      <c r="R25" s="14" t="n">
        <f aca="false">L25-P25*12</f>
        <v>948000</v>
      </c>
    </row>
    <row r="26" customFormat="false" ht="15" hidden="false" customHeight="false" outlineLevel="0" collapsed="false">
      <c r="A26" s="24" t="s">
        <v>115</v>
      </c>
      <c r="B26" s="24" t="n">
        <v>22</v>
      </c>
      <c r="C26" s="10" t="n">
        <v>48</v>
      </c>
      <c r="D26" s="25" t="n">
        <f aca="false">ROUND(E25*Dashboard!$B$11,0)</f>
        <v>14</v>
      </c>
      <c r="E26" s="15" t="n">
        <f aca="false">E25+C26-D26</f>
        <v>316</v>
      </c>
      <c r="F26" s="25" t="n">
        <f aca="false">ROUND(E26*Dashboard!$B$8,0)</f>
        <v>237</v>
      </c>
      <c r="G26" s="25" t="n">
        <f aca="false">E26-F26</f>
        <v>79</v>
      </c>
      <c r="H26" s="25" t="n">
        <f aca="false">E26*Dashboard!$B$10</f>
        <v>3160</v>
      </c>
      <c r="I26" s="26" t="n">
        <f aca="false">F26*Dashboard!$B$10*Dashboard!$B$6</f>
        <v>59250</v>
      </c>
      <c r="J26" s="26" t="n">
        <f aca="false">G26*Dashboard!$B$10*Dashboard!$B$7</f>
        <v>39500</v>
      </c>
      <c r="K26" s="14" t="n">
        <f aca="false">I26+J26</f>
        <v>98750</v>
      </c>
      <c r="L26" s="14" t="n">
        <f aca="false">K26*12</f>
        <v>1185000</v>
      </c>
      <c r="M26" s="27" t="n">
        <f aca="false">ROUND(C26*Dashboard!$B$15,0)</f>
        <v>24</v>
      </c>
      <c r="N26" s="28" t="n">
        <f aca="false">N25+M26-ROUND(N25*Dashboard!$B$11,0)</f>
        <v>161</v>
      </c>
      <c r="O26" s="26" t="n">
        <f aca="false">N26*Dashboard!$B$19*12</f>
        <v>603750</v>
      </c>
      <c r="P26" s="26" t="n">
        <f aca="false">N26*Dashboard!$B$19*Dashboard!$B$14</f>
        <v>10062.5</v>
      </c>
      <c r="Q26" s="29" t="n">
        <f aca="false">Q25+P26</f>
        <v>75000</v>
      </c>
      <c r="R26" s="14" t="n">
        <f aca="false">L26-P26*12</f>
        <v>1064250</v>
      </c>
    </row>
    <row r="27" customFormat="false" ht="15" hidden="false" customHeight="false" outlineLevel="0" collapsed="false">
      <c r="A27" s="24" t="s">
        <v>116</v>
      </c>
      <c r="B27" s="24" t="n">
        <v>23</v>
      </c>
      <c r="C27" s="10" t="n">
        <v>52</v>
      </c>
      <c r="D27" s="25" t="n">
        <f aca="false">ROUND(E26*Dashboard!$B$11,0)</f>
        <v>16</v>
      </c>
      <c r="E27" s="15" t="n">
        <f aca="false">E26+C27-D27</f>
        <v>352</v>
      </c>
      <c r="F27" s="25" t="n">
        <f aca="false">ROUND(E27*Dashboard!$B$8,0)</f>
        <v>264</v>
      </c>
      <c r="G27" s="25" t="n">
        <f aca="false">E27-F27</f>
        <v>88</v>
      </c>
      <c r="H27" s="25" t="n">
        <f aca="false">E27*Dashboard!$B$10</f>
        <v>3520</v>
      </c>
      <c r="I27" s="26" t="n">
        <f aca="false">F27*Dashboard!$B$10*Dashboard!$B$6</f>
        <v>66000</v>
      </c>
      <c r="J27" s="26" t="n">
        <f aca="false">G27*Dashboard!$B$10*Dashboard!$B$7</f>
        <v>44000</v>
      </c>
      <c r="K27" s="14" t="n">
        <f aca="false">I27+J27</f>
        <v>110000</v>
      </c>
      <c r="L27" s="14" t="n">
        <f aca="false">K27*12</f>
        <v>1320000</v>
      </c>
      <c r="M27" s="27" t="n">
        <f aca="false">ROUND(C27*Dashboard!$B$15,0)</f>
        <v>26</v>
      </c>
      <c r="N27" s="28" t="n">
        <f aca="false">N26+M27-ROUND(N26*Dashboard!$B$11,0)</f>
        <v>179</v>
      </c>
      <c r="O27" s="26" t="n">
        <f aca="false">N27*Dashboard!$B$19*12</f>
        <v>671250</v>
      </c>
      <c r="P27" s="26" t="n">
        <f aca="false">N27*Dashboard!$B$19*Dashboard!$B$14</f>
        <v>11187.5</v>
      </c>
      <c r="Q27" s="29" t="n">
        <f aca="false">Q26+P27</f>
        <v>86187.5</v>
      </c>
      <c r="R27" s="14" t="n">
        <f aca="false">L27-P27*12</f>
        <v>1185750</v>
      </c>
    </row>
    <row r="28" customFormat="false" ht="15" hidden="false" customHeight="false" outlineLevel="0" collapsed="false">
      <c r="A28" s="24" t="s">
        <v>117</v>
      </c>
      <c r="B28" s="24" t="n">
        <v>24</v>
      </c>
      <c r="C28" s="10" t="n">
        <v>56</v>
      </c>
      <c r="D28" s="25" t="n">
        <f aca="false">ROUND(E27*Dashboard!$B$11,0)</f>
        <v>18</v>
      </c>
      <c r="E28" s="15" t="n">
        <f aca="false">E27+C28-D28</f>
        <v>390</v>
      </c>
      <c r="F28" s="25" t="n">
        <f aca="false">ROUND(E28*Dashboard!$B$8,0)</f>
        <v>293</v>
      </c>
      <c r="G28" s="25" t="n">
        <f aca="false">E28-F28</f>
        <v>97</v>
      </c>
      <c r="H28" s="25" t="n">
        <f aca="false">E28*Dashboard!$B$10</f>
        <v>3900</v>
      </c>
      <c r="I28" s="26" t="n">
        <f aca="false">F28*Dashboard!$B$10*Dashboard!$B$6</f>
        <v>73250</v>
      </c>
      <c r="J28" s="26" t="n">
        <f aca="false">G28*Dashboard!$B$10*Dashboard!$B$7</f>
        <v>48500</v>
      </c>
      <c r="K28" s="14" t="n">
        <f aca="false">I28+J28</f>
        <v>121750</v>
      </c>
      <c r="L28" s="14" t="n">
        <f aca="false">K28*12</f>
        <v>1461000</v>
      </c>
      <c r="M28" s="27" t="n">
        <f aca="false">ROUND(C28*Dashboard!$B$15,0)</f>
        <v>28</v>
      </c>
      <c r="N28" s="28" t="n">
        <f aca="false">N27+M28-ROUND(N27*Dashboard!$B$11,0)</f>
        <v>198</v>
      </c>
      <c r="O28" s="26" t="n">
        <f aca="false">N28*Dashboard!$B$19*12</f>
        <v>742500</v>
      </c>
      <c r="P28" s="26" t="n">
        <f aca="false">N28*Dashboard!$B$19*Dashboard!$B$14</f>
        <v>12375</v>
      </c>
      <c r="Q28" s="29" t="n">
        <f aca="false">Q27+P28</f>
        <v>98562.5</v>
      </c>
      <c r="R28" s="14" t="n">
        <f aca="false">L28-P28*12</f>
        <v>1312500</v>
      </c>
    </row>
    <row r="29" customFormat="false" ht="15" hidden="false" customHeight="false" outlineLevel="0" collapsed="false">
      <c r="A29" s="30" t="s">
        <v>118</v>
      </c>
      <c r="B29" s="31"/>
      <c r="C29" s="32" t="n">
        <f aca="false">SUM(C5:C28)</f>
        <v>522</v>
      </c>
      <c r="D29" s="32" t="n">
        <f aca="false">SUM(D5:D28)</f>
        <v>132</v>
      </c>
      <c r="E29" s="32" t="n">
        <f aca="false">E28</f>
        <v>390</v>
      </c>
      <c r="F29" s="31"/>
      <c r="G29" s="31"/>
      <c r="H29" s="31"/>
      <c r="I29" s="31"/>
      <c r="J29" s="31"/>
      <c r="K29" s="33" t="n">
        <f aca="false">K28</f>
        <v>121750</v>
      </c>
      <c r="L29" s="33" t="n">
        <f aca="false">L28</f>
        <v>1461000</v>
      </c>
      <c r="M29" s="32" t="n">
        <f aca="false">SUM(M5:M28)</f>
        <v>266</v>
      </c>
      <c r="N29" s="32" t="n">
        <f aca="false">N28</f>
        <v>198</v>
      </c>
      <c r="O29" s="33" t="n">
        <f aca="false">O28</f>
        <v>742500</v>
      </c>
      <c r="P29" s="33" t="n">
        <f aca="false">P28</f>
        <v>12375</v>
      </c>
      <c r="Q29" s="33" t="n">
        <f aca="false">Q28</f>
        <v>98562.5</v>
      </c>
      <c r="R29" s="33" t="n">
        <f aca="false">R28</f>
        <v>1312500</v>
      </c>
    </row>
    <row r="30" customFormat="false" ht="15" hidden="false" customHeight="false" outlineLevel="0" collapsed="false">
      <c r="A30" s="34" t="s">
        <v>62</v>
      </c>
      <c r="L30" s="35" t="n">
        <f aca="false">L28/Dashboard!$B$12</f>
        <v>1.461</v>
      </c>
      <c r="R30" s="35" t="n">
        <f aca="false">R28/Dashboard!$B$12</f>
        <v>1.3125</v>
      </c>
    </row>
    <row r="31" customFormat="false" ht="15" hidden="false" customHeight="false" outlineLevel="0" collapsed="false">
      <c r="A31" s="36" t="s">
        <v>119</v>
      </c>
      <c r="Q31" s="37" t="n">
        <f aca="false">Q28</f>
        <v>98562.5</v>
      </c>
    </row>
  </sheetData>
  <mergeCells count="4">
    <mergeCell ref="A1:R1"/>
    <mergeCell ref="A2:R2"/>
    <mergeCell ref="A3:L3"/>
    <mergeCell ref="M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16" min="3" style="0" width="13"/>
  </cols>
  <sheetData>
    <row r="1" customFormat="false" ht="27.75" hidden="false" customHeight="true" outlineLevel="0" collapsed="false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C3" s="38" t="s">
        <v>122</v>
      </c>
      <c r="D3" s="38"/>
      <c r="E3" s="38"/>
      <c r="F3" s="38"/>
      <c r="G3" s="38"/>
      <c r="H3" s="3" t="s">
        <v>123</v>
      </c>
      <c r="I3" s="3"/>
      <c r="J3" s="3"/>
      <c r="K3" s="3"/>
      <c r="L3" s="39" t="s">
        <v>124</v>
      </c>
      <c r="M3" s="39"/>
      <c r="N3" s="39"/>
      <c r="O3" s="39"/>
    </row>
    <row r="4" customFormat="false" ht="15" hidden="false" customHeight="false" outlineLevel="0" collapsed="false">
      <c r="A4" s="4" t="s">
        <v>76</v>
      </c>
      <c r="B4" s="4" t="s">
        <v>77</v>
      </c>
      <c r="C4" s="4" t="s">
        <v>125</v>
      </c>
      <c r="D4" s="4" t="s">
        <v>80</v>
      </c>
      <c r="E4" s="4" t="s">
        <v>60</v>
      </c>
      <c r="F4" s="4" t="s">
        <v>61</v>
      </c>
      <c r="G4" s="4" t="s">
        <v>126</v>
      </c>
      <c r="H4" s="4" t="s">
        <v>125</v>
      </c>
      <c r="I4" s="4" t="s">
        <v>80</v>
      </c>
      <c r="J4" s="4" t="s">
        <v>60</v>
      </c>
      <c r="K4" s="4" t="s">
        <v>61</v>
      </c>
      <c r="L4" s="4" t="s">
        <v>125</v>
      </c>
      <c r="M4" s="4" t="s">
        <v>80</v>
      </c>
      <c r="N4" s="4" t="s">
        <v>60</v>
      </c>
      <c r="O4" s="4" t="s">
        <v>61</v>
      </c>
    </row>
    <row r="5" customFormat="false" ht="15" hidden="false" customHeight="false" outlineLevel="0" collapsed="false">
      <c r="A5" s="24" t="s">
        <v>94</v>
      </c>
      <c r="B5" s="24" t="n">
        <v>1</v>
      </c>
      <c r="C5" s="10" t="n">
        <v>2</v>
      </c>
      <c r="D5" s="40" t="n">
        <f aca="false">C5</f>
        <v>2</v>
      </c>
      <c r="E5" s="26" t="n">
        <f aca="false">D5*Dashboard!$B$19</f>
        <v>625</v>
      </c>
      <c r="F5" s="41" t="n">
        <f aca="false">E5*12</f>
        <v>7500</v>
      </c>
      <c r="G5" s="21" t="n">
        <f aca="false">F5/Dashboard!$B$12</f>
        <v>0.0075</v>
      </c>
      <c r="H5" s="10" t="n">
        <v>3</v>
      </c>
      <c r="I5" s="40" t="n">
        <f aca="false">H5</f>
        <v>3</v>
      </c>
      <c r="J5" s="26" t="n">
        <f aca="false">I5*Dashboard!$B$19</f>
        <v>937.5</v>
      </c>
      <c r="K5" s="41" t="n">
        <f aca="false">J5*12</f>
        <v>11250</v>
      </c>
      <c r="L5" s="10" t="n">
        <v>5</v>
      </c>
      <c r="M5" s="40" t="n">
        <f aca="false">L5</f>
        <v>5</v>
      </c>
      <c r="N5" s="26" t="n">
        <f aca="false">M5*Dashboard!$B$19</f>
        <v>1562.5</v>
      </c>
      <c r="O5" s="41" t="n">
        <f aca="false">N5*12</f>
        <v>18750</v>
      </c>
    </row>
    <row r="6" customFormat="false" ht="15" hidden="false" customHeight="false" outlineLevel="0" collapsed="false">
      <c r="A6" s="24" t="s">
        <v>95</v>
      </c>
      <c r="B6" s="24" t="n">
        <v>2</v>
      </c>
      <c r="C6" s="10" t="n">
        <v>2</v>
      </c>
      <c r="D6" s="40" t="n">
        <f aca="false">D5+C6-ROUND(D5*Dashboard!$B$11,0)</f>
        <v>4</v>
      </c>
      <c r="E6" s="26" t="n">
        <f aca="false">D6*Dashboard!$B$19</f>
        <v>1250</v>
      </c>
      <c r="F6" s="41" t="n">
        <f aca="false">E6*12</f>
        <v>15000</v>
      </c>
      <c r="G6" s="21" t="n">
        <f aca="false">F6/Dashboard!$B$12</f>
        <v>0.015</v>
      </c>
      <c r="H6" s="10" t="n">
        <v>3</v>
      </c>
      <c r="I6" s="40" t="n">
        <f aca="false">I5+H6-ROUND(I5*Dashboard!$B$11,0)</f>
        <v>6</v>
      </c>
      <c r="J6" s="26" t="n">
        <f aca="false">I6*Dashboard!$B$19</f>
        <v>1875</v>
      </c>
      <c r="K6" s="41" t="n">
        <f aca="false">J6*12</f>
        <v>22500</v>
      </c>
      <c r="L6" s="10" t="n">
        <v>6</v>
      </c>
      <c r="M6" s="40" t="n">
        <f aca="false">M5+L6-ROUND(M5*Dashboard!$B$11,0)</f>
        <v>11</v>
      </c>
      <c r="N6" s="26" t="n">
        <f aca="false">M6*Dashboard!$B$19</f>
        <v>3437.5</v>
      </c>
      <c r="O6" s="41" t="n">
        <f aca="false">N6*12</f>
        <v>41250</v>
      </c>
    </row>
    <row r="7" customFormat="false" ht="15" hidden="false" customHeight="false" outlineLevel="0" collapsed="false">
      <c r="A7" s="24" t="s">
        <v>96</v>
      </c>
      <c r="B7" s="24" t="n">
        <v>3</v>
      </c>
      <c r="C7" s="10" t="n">
        <v>2</v>
      </c>
      <c r="D7" s="40" t="n">
        <f aca="false">D6+C7-ROUND(D6*Dashboard!$B$11,0)</f>
        <v>6</v>
      </c>
      <c r="E7" s="26" t="n">
        <f aca="false">D7*Dashboard!$B$19</f>
        <v>1875</v>
      </c>
      <c r="F7" s="41" t="n">
        <f aca="false">E7*12</f>
        <v>22500</v>
      </c>
      <c r="G7" s="21" t="n">
        <f aca="false">F7/Dashboard!$B$12</f>
        <v>0.0225</v>
      </c>
      <c r="H7" s="10" t="n">
        <v>3</v>
      </c>
      <c r="I7" s="40" t="n">
        <f aca="false">I6+H7-ROUND(I6*Dashboard!$B$11,0)</f>
        <v>9</v>
      </c>
      <c r="J7" s="26" t="n">
        <f aca="false">I7*Dashboard!$B$19</f>
        <v>2812.5</v>
      </c>
      <c r="K7" s="41" t="n">
        <f aca="false">J7*12</f>
        <v>33750</v>
      </c>
      <c r="L7" s="10" t="n">
        <v>7</v>
      </c>
      <c r="M7" s="40" t="n">
        <f aca="false">M6+L7-ROUND(M6*Dashboard!$B$11,0)</f>
        <v>17</v>
      </c>
      <c r="N7" s="26" t="n">
        <f aca="false">M7*Dashboard!$B$19</f>
        <v>5312.5</v>
      </c>
      <c r="O7" s="41" t="n">
        <f aca="false">N7*12</f>
        <v>63750</v>
      </c>
    </row>
    <row r="8" customFormat="false" ht="15" hidden="false" customHeight="false" outlineLevel="0" collapsed="false">
      <c r="A8" s="24" t="s">
        <v>97</v>
      </c>
      <c r="B8" s="24" t="n">
        <v>4</v>
      </c>
      <c r="C8" s="10" t="n">
        <v>3</v>
      </c>
      <c r="D8" s="40" t="n">
        <f aca="false">D7+C8-ROUND(D7*Dashboard!$B$11,0)</f>
        <v>9</v>
      </c>
      <c r="E8" s="26" t="n">
        <f aca="false">D8*Dashboard!$B$19</f>
        <v>2812.5</v>
      </c>
      <c r="F8" s="41" t="n">
        <f aca="false">E8*12</f>
        <v>33750</v>
      </c>
      <c r="G8" s="21" t="n">
        <f aca="false">F8/Dashboard!$B$12</f>
        <v>0.03375</v>
      </c>
      <c r="H8" s="10" t="n">
        <v>5</v>
      </c>
      <c r="I8" s="40" t="n">
        <f aca="false">I7+H8-ROUND(I7*Dashboard!$B$11,0)</f>
        <v>14</v>
      </c>
      <c r="J8" s="26" t="n">
        <f aca="false">I8*Dashboard!$B$19</f>
        <v>4375</v>
      </c>
      <c r="K8" s="41" t="n">
        <f aca="false">J8*12</f>
        <v>52500</v>
      </c>
      <c r="L8" s="10" t="n">
        <v>10</v>
      </c>
      <c r="M8" s="40" t="n">
        <f aca="false">M7+L8-ROUND(M7*Dashboard!$B$11,0)</f>
        <v>26</v>
      </c>
      <c r="N8" s="26" t="n">
        <f aca="false">M8*Dashboard!$B$19</f>
        <v>8125</v>
      </c>
      <c r="O8" s="41" t="n">
        <f aca="false">N8*12</f>
        <v>97500</v>
      </c>
    </row>
    <row r="9" customFormat="false" ht="15" hidden="false" customHeight="false" outlineLevel="0" collapsed="false">
      <c r="A9" s="24" t="s">
        <v>98</v>
      </c>
      <c r="B9" s="24" t="n">
        <v>5</v>
      </c>
      <c r="C9" s="10" t="n">
        <v>3</v>
      </c>
      <c r="D9" s="40" t="n">
        <f aca="false">D8+C9-ROUND(D8*Dashboard!$B$11,0)</f>
        <v>12</v>
      </c>
      <c r="E9" s="26" t="n">
        <f aca="false">D9*Dashboard!$B$19</f>
        <v>3750</v>
      </c>
      <c r="F9" s="41" t="n">
        <f aca="false">E9*12</f>
        <v>45000</v>
      </c>
      <c r="G9" s="21" t="n">
        <f aca="false">F9/Dashboard!$B$12</f>
        <v>0.045</v>
      </c>
      <c r="H9" s="10" t="n">
        <v>5</v>
      </c>
      <c r="I9" s="40" t="n">
        <f aca="false">I8+H9-ROUND(I8*Dashboard!$B$11,0)</f>
        <v>18</v>
      </c>
      <c r="J9" s="26" t="n">
        <f aca="false">I9*Dashboard!$B$19</f>
        <v>5625</v>
      </c>
      <c r="K9" s="41" t="n">
        <f aca="false">J9*12</f>
        <v>67500</v>
      </c>
      <c r="L9" s="10" t="n">
        <v>11</v>
      </c>
      <c r="M9" s="40" t="n">
        <f aca="false">M8+L9-ROUND(M8*Dashboard!$B$11,0)</f>
        <v>36</v>
      </c>
      <c r="N9" s="26" t="n">
        <f aca="false">M9*Dashboard!$B$19</f>
        <v>11250</v>
      </c>
      <c r="O9" s="41" t="n">
        <f aca="false">N9*12</f>
        <v>135000</v>
      </c>
    </row>
    <row r="10" customFormat="false" ht="15" hidden="false" customHeight="false" outlineLevel="0" collapsed="false">
      <c r="A10" s="24" t="s">
        <v>99</v>
      </c>
      <c r="B10" s="24" t="n">
        <v>6</v>
      </c>
      <c r="C10" s="10" t="n">
        <v>3</v>
      </c>
      <c r="D10" s="40" t="n">
        <f aca="false">D9+C10-ROUND(D9*Dashboard!$B$11,0)</f>
        <v>14</v>
      </c>
      <c r="E10" s="26" t="n">
        <f aca="false">D10*Dashboard!$B$19</f>
        <v>4375</v>
      </c>
      <c r="F10" s="41" t="n">
        <f aca="false">E10*12</f>
        <v>52500</v>
      </c>
      <c r="G10" s="21" t="n">
        <f aca="false">F10/Dashboard!$B$12</f>
        <v>0.0525</v>
      </c>
      <c r="H10" s="10" t="n">
        <v>5</v>
      </c>
      <c r="I10" s="40" t="n">
        <f aca="false">I9+H10-ROUND(I9*Dashboard!$B$11,0)</f>
        <v>22</v>
      </c>
      <c r="J10" s="26" t="n">
        <f aca="false">I10*Dashboard!$B$19</f>
        <v>6875</v>
      </c>
      <c r="K10" s="41" t="n">
        <f aca="false">J10*12</f>
        <v>82500</v>
      </c>
      <c r="L10" s="10" t="n">
        <v>13</v>
      </c>
      <c r="M10" s="40" t="n">
        <f aca="false">M9+L10-ROUND(M9*Dashboard!$B$11,0)</f>
        <v>47</v>
      </c>
      <c r="N10" s="26" t="n">
        <f aca="false">M10*Dashboard!$B$19</f>
        <v>14687.5</v>
      </c>
      <c r="O10" s="41" t="n">
        <f aca="false">N10*12</f>
        <v>176250</v>
      </c>
    </row>
    <row r="11" customFormat="false" ht="15" hidden="false" customHeight="false" outlineLevel="0" collapsed="false">
      <c r="A11" s="24" t="s">
        <v>100</v>
      </c>
      <c r="B11" s="24" t="n">
        <v>7</v>
      </c>
      <c r="C11" s="10" t="n">
        <v>5</v>
      </c>
      <c r="D11" s="40" t="n">
        <f aca="false">D10+C11-ROUND(D10*Dashboard!$B$11,0)</f>
        <v>18</v>
      </c>
      <c r="E11" s="26" t="n">
        <f aca="false">D11*Dashboard!$B$19</f>
        <v>5625</v>
      </c>
      <c r="F11" s="41" t="n">
        <f aca="false">E11*12</f>
        <v>67500</v>
      </c>
      <c r="G11" s="21" t="n">
        <f aca="false">F11/Dashboard!$B$12</f>
        <v>0.0675</v>
      </c>
      <c r="H11" s="10" t="n">
        <v>8</v>
      </c>
      <c r="I11" s="40" t="n">
        <f aca="false">I10+H11-ROUND(I10*Dashboard!$B$11,0)</f>
        <v>29</v>
      </c>
      <c r="J11" s="26" t="n">
        <f aca="false">I11*Dashboard!$B$19</f>
        <v>9062.5</v>
      </c>
      <c r="K11" s="41" t="n">
        <f aca="false">J11*12</f>
        <v>108750</v>
      </c>
      <c r="L11" s="10" t="n">
        <v>16</v>
      </c>
      <c r="M11" s="40" t="n">
        <f aca="false">M10+L11-ROUND(M10*Dashboard!$B$11,0)</f>
        <v>61</v>
      </c>
      <c r="N11" s="26" t="n">
        <f aca="false">M11*Dashboard!$B$19</f>
        <v>19062.5</v>
      </c>
      <c r="O11" s="41" t="n">
        <f aca="false">N11*12</f>
        <v>228750</v>
      </c>
    </row>
    <row r="12" customFormat="false" ht="15" hidden="false" customHeight="false" outlineLevel="0" collapsed="false">
      <c r="A12" s="24" t="s">
        <v>101</v>
      </c>
      <c r="B12" s="24" t="n">
        <v>8</v>
      </c>
      <c r="C12" s="10" t="n">
        <v>5</v>
      </c>
      <c r="D12" s="40" t="n">
        <f aca="false">D11+C12-ROUND(D11*Dashboard!$B$11,0)</f>
        <v>22</v>
      </c>
      <c r="E12" s="26" t="n">
        <f aca="false">D12*Dashboard!$B$19</f>
        <v>6875</v>
      </c>
      <c r="F12" s="41" t="n">
        <f aca="false">E12*12</f>
        <v>82500</v>
      </c>
      <c r="G12" s="21" t="n">
        <f aca="false">F12/Dashboard!$B$12</f>
        <v>0.0825</v>
      </c>
      <c r="H12" s="10" t="n">
        <v>9</v>
      </c>
      <c r="I12" s="40" t="n">
        <f aca="false">I11+H12-ROUND(I11*Dashboard!$B$11,0)</f>
        <v>37</v>
      </c>
      <c r="J12" s="26" t="n">
        <f aca="false">I12*Dashboard!$B$19</f>
        <v>11562.5</v>
      </c>
      <c r="K12" s="41" t="n">
        <f aca="false">J12*12</f>
        <v>138750</v>
      </c>
      <c r="L12" s="10" t="n">
        <v>18</v>
      </c>
      <c r="M12" s="40" t="n">
        <f aca="false">M11+L12-ROUND(M11*Dashboard!$B$11,0)</f>
        <v>76</v>
      </c>
      <c r="N12" s="26" t="n">
        <f aca="false">M12*Dashboard!$B$19</f>
        <v>23750</v>
      </c>
      <c r="O12" s="41" t="n">
        <f aca="false">N12*12</f>
        <v>285000</v>
      </c>
    </row>
    <row r="13" customFormat="false" ht="15" hidden="false" customHeight="false" outlineLevel="0" collapsed="false">
      <c r="A13" s="24" t="s">
        <v>102</v>
      </c>
      <c r="B13" s="24" t="n">
        <v>9</v>
      </c>
      <c r="C13" s="10" t="n">
        <v>6</v>
      </c>
      <c r="D13" s="40" t="n">
        <f aca="false">D12+C13-ROUND(D12*Dashboard!$B$11,0)</f>
        <v>27</v>
      </c>
      <c r="E13" s="26" t="n">
        <f aca="false">D13*Dashboard!$B$19</f>
        <v>8437.5</v>
      </c>
      <c r="F13" s="41" t="n">
        <f aca="false">E13*12</f>
        <v>101250</v>
      </c>
      <c r="G13" s="21" t="n">
        <f aca="false">F13/Dashboard!$B$12</f>
        <v>0.10125</v>
      </c>
      <c r="H13" s="10" t="n">
        <v>10</v>
      </c>
      <c r="I13" s="40" t="n">
        <f aca="false">I12+H13-ROUND(I12*Dashboard!$B$11,0)</f>
        <v>45</v>
      </c>
      <c r="J13" s="26" t="n">
        <f aca="false">I13*Dashboard!$B$19</f>
        <v>14062.5</v>
      </c>
      <c r="K13" s="41" t="n">
        <f aca="false">J13*12</f>
        <v>168750</v>
      </c>
      <c r="L13" s="10" t="n">
        <v>20</v>
      </c>
      <c r="M13" s="40" t="n">
        <f aca="false">M12+L13-ROUND(M12*Dashboard!$B$11,0)</f>
        <v>92</v>
      </c>
      <c r="N13" s="26" t="n">
        <f aca="false">M13*Dashboard!$B$19</f>
        <v>28750</v>
      </c>
      <c r="O13" s="41" t="n">
        <f aca="false">N13*12</f>
        <v>345000</v>
      </c>
    </row>
    <row r="14" customFormat="false" ht="15" hidden="false" customHeight="false" outlineLevel="0" collapsed="false">
      <c r="A14" s="24" t="s">
        <v>103</v>
      </c>
      <c r="B14" s="24" t="n">
        <v>10</v>
      </c>
      <c r="C14" s="10" t="n">
        <v>7</v>
      </c>
      <c r="D14" s="40" t="n">
        <f aca="false">D13+C14-ROUND(D13*Dashboard!$B$11,0)</f>
        <v>33</v>
      </c>
      <c r="E14" s="26" t="n">
        <f aca="false">D14*Dashboard!$B$19</f>
        <v>10312.5</v>
      </c>
      <c r="F14" s="41" t="n">
        <f aca="false">E14*12</f>
        <v>123750</v>
      </c>
      <c r="G14" s="21" t="n">
        <f aca="false">F14/Dashboard!$B$12</f>
        <v>0.12375</v>
      </c>
      <c r="H14" s="10" t="n">
        <v>12</v>
      </c>
      <c r="I14" s="40" t="n">
        <f aca="false">I13+H14-ROUND(I13*Dashboard!$B$11,0)</f>
        <v>55</v>
      </c>
      <c r="J14" s="26" t="n">
        <f aca="false">I14*Dashboard!$B$19</f>
        <v>17187.5</v>
      </c>
      <c r="K14" s="41" t="n">
        <f aca="false">J14*12</f>
        <v>206250</v>
      </c>
      <c r="L14" s="10" t="n">
        <v>23</v>
      </c>
      <c r="M14" s="40" t="n">
        <f aca="false">M13+L14-ROUND(M13*Dashboard!$B$11,0)</f>
        <v>110</v>
      </c>
      <c r="N14" s="26" t="n">
        <f aca="false">M14*Dashboard!$B$19</f>
        <v>34375</v>
      </c>
      <c r="O14" s="41" t="n">
        <f aca="false">N14*12</f>
        <v>412500</v>
      </c>
    </row>
    <row r="15" customFormat="false" ht="15" hidden="false" customHeight="false" outlineLevel="0" collapsed="false">
      <c r="A15" s="24" t="s">
        <v>104</v>
      </c>
      <c r="B15" s="24" t="n">
        <v>11</v>
      </c>
      <c r="C15" s="10" t="n">
        <v>8</v>
      </c>
      <c r="D15" s="40" t="n">
        <f aca="false">D14+C15-ROUND(D14*Dashboard!$B$11,0)</f>
        <v>39</v>
      </c>
      <c r="E15" s="26" t="n">
        <f aca="false">D15*Dashboard!$B$19</f>
        <v>12187.5</v>
      </c>
      <c r="F15" s="41" t="n">
        <f aca="false">E15*12</f>
        <v>146250</v>
      </c>
      <c r="G15" s="21" t="n">
        <f aca="false">F15/Dashboard!$B$12</f>
        <v>0.14625</v>
      </c>
      <c r="H15" s="10" t="n">
        <v>14</v>
      </c>
      <c r="I15" s="40" t="n">
        <f aca="false">I14+H15-ROUND(I14*Dashboard!$B$11,0)</f>
        <v>66</v>
      </c>
      <c r="J15" s="26" t="n">
        <f aca="false">I15*Dashboard!$B$19</f>
        <v>20625</v>
      </c>
      <c r="K15" s="41" t="n">
        <f aca="false">J15*12</f>
        <v>247500</v>
      </c>
      <c r="L15" s="10" t="n">
        <v>26</v>
      </c>
      <c r="M15" s="40" t="n">
        <f aca="false">M14+L15-ROUND(M14*Dashboard!$B$11,0)</f>
        <v>130</v>
      </c>
      <c r="N15" s="26" t="n">
        <f aca="false">M15*Dashboard!$B$19</f>
        <v>40625</v>
      </c>
      <c r="O15" s="41" t="n">
        <f aca="false">N15*12</f>
        <v>487500</v>
      </c>
    </row>
    <row r="16" customFormat="false" ht="15" hidden="false" customHeight="false" outlineLevel="0" collapsed="false">
      <c r="A16" s="24" t="s">
        <v>105</v>
      </c>
      <c r="B16" s="24" t="n">
        <v>12</v>
      </c>
      <c r="C16" s="10" t="n">
        <v>9</v>
      </c>
      <c r="D16" s="40" t="n">
        <f aca="false">D15+C16-ROUND(D15*Dashboard!$B$11,0)</f>
        <v>46</v>
      </c>
      <c r="E16" s="26" t="n">
        <f aca="false">D16*Dashboard!$B$19</f>
        <v>14375</v>
      </c>
      <c r="F16" s="41" t="n">
        <f aca="false">E16*12</f>
        <v>172500</v>
      </c>
      <c r="G16" s="21" t="n">
        <f aca="false">F16/Dashboard!$B$12</f>
        <v>0.1725</v>
      </c>
      <c r="H16" s="10" t="n">
        <v>16</v>
      </c>
      <c r="I16" s="40" t="n">
        <f aca="false">I15+H16-ROUND(I15*Dashboard!$B$11,0)</f>
        <v>79</v>
      </c>
      <c r="J16" s="26" t="n">
        <f aca="false">I16*Dashboard!$B$19</f>
        <v>24687.5</v>
      </c>
      <c r="K16" s="41" t="n">
        <f aca="false">J16*12</f>
        <v>296250</v>
      </c>
      <c r="L16" s="10" t="n">
        <v>29</v>
      </c>
      <c r="M16" s="40" t="n">
        <f aca="false">M15+L16-ROUND(M15*Dashboard!$B$11,0)</f>
        <v>152</v>
      </c>
      <c r="N16" s="26" t="n">
        <f aca="false">M16*Dashboard!$B$19</f>
        <v>47500</v>
      </c>
      <c r="O16" s="41" t="n">
        <f aca="false">N16*12</f>
        <v>570000</v>
      </c>
    </row>
    <row r="17" customFormat="false" ht="15" hidden="false" customHeight="false" outlineLevel="0" collapsed="false">
      <c r="A17" s="24" t="s">
        <v>106</v>
      </c>
      <c r="B17" s="24" t="n">
        <v>13</v>
      </c>
      <c r="C17" s="10" t="n">
        <v>10</v>
      </c>
      <c r="D17" s="40" t="n">
        <f aca="false">D16+C17-ROUND(D16*Dashboard!$B$11,0)</f>
        <v>54</v>
      </c>
      <c r="E17" s="26" t="n">
        <f aca="false">D17*Dashboard!$B$19</f>
        <v>16875</v>
      </c>
      <c r="F17" s="41" t="n">
        <f aca="false">E17*12</f>
        <v>202500</v>
      </c>
      <c r="G17" s="21" t="n">
        <f aca="false">F17/Dashboard!$B$12</f>
        <v>0.2025</v>
      </c>
      <c r="H17" s="10" t="n">
        <v>18</v>
      </c>
      <c r="I17" s="40" t="n">
        <f aca="false">I16+H17-ROUND(I16*Dashboard!$B$11,0)</f>
        <v>93</v>
      </c>
      <c r="J17" s="26" t="n">
        <f aca="false">I17*Dashboard!$B$19</f>
        <v>29062.5</v>
      </c>
      <c r="K17" s="41" t="n">
        <f aca="false">J17*12</f>
        <v>348750</v>
      </c>
      <c r="L17" s="10" t="n">
        <v>32</v>
      </c>
      <c r="M17" s="40" t="n">
        <f aca="false">M16+L17-ROUND(M16*Dashboard!$B$11,0)</f>
        <v>176</v>
      </c>
      <c r="N17" s="26" t="n">
        <f aca="false">M17*Dashboard!$B$19</f>
        <v>55000</v>
      </c>
      <c r="O17" s="41" t="n">
        <f aca="false">N17*12</f>
        <v>660000</v>
      </c>
    </row>
    <row r="18" customFormat="false" ht="15" hidden="false" customHeight="false" outlineLevel="0" collapsed="false">
      <c r="A18" s="24" t="s">
        <v>107</v>
      </c>
      <c r="B18" s="24" t="n">
        <v>14</v>
      </c>
      <c r="C18" s="10" t="n">
        <v>11</v>
      </c>
      <c r="D18" s="40" t="n">
        <f aca="false">D17+C18-ROUND(D17*Dashboard!$B$11,0)</f>
        <v>62</v>
      </c>
      <c r="E18" s="26" t="n">
        <f aca="false">D18*Dashboard!$B$19</f>
        <v>19375</v>
      </c>
      <c r="F18" s="41" t="n">
        <f aca="false">E18*12</f>
        <v>232500</v>
      </c>
      <c r="G18" s="21" t="n">
        <f aca="false">F18/Dashboard!$B$12</f>
        <v>0.2325</v>
      </c>
      <c r="H18" s="10" t="n">
        <v>21</v>
      </c>
      <c r="I18" s="40" t="n">
        <f aca="false">I17+H18-ROUND(I17*Dashboard!$B$11,0)</f>
        <v>109</v>
      </c>
      <c r="J18" s="26" t="n">
        <f aca="false">I18*Dashboard!$B$19</f>
        <v>34062.5</v>
      </c>
      <c r="K18" s="41" t="n">
        <f aca="false">J18*12</f>
        <v>408750</v>
      </c>
      <c r="L18" s="10" t="n">
        <v>36</v>
      </c>
      <c r="M18" s="40" t="n">
        <f aca="false">M17+L18-ROUND(M17*Dashboard!$B$11,0)</f>
        <v>203</v>
      </c>
      <c r="N18" s="26" t="n">
        <f aca="false">M18*Dashboard!$B$19</f>
        <v>63437.5</v>
      </c>
      <c r="O18" s="41" t="n">
        <f aca="false">N18*12</f>
        <v>761250</v>
      </c>
    </row>
    <row r="19" customFormat="false" ht="15" hidden="false" customHeight="false" outlineLevel="0" collapsed="false">
      <c r="A19" s="24" t="s">
        <v>108</v>
      </c>
      <c r="B19" s="24" t="n">
        <v>15</v>
      </c>
      <c r="C19" s="10" t="n">
        <v>13</v>
      </c>
      <c r="D19" s="40" t="n">
        <f aca="false">D18+C19-ROUND(D18*Dashboard!$B$11,0)</f>
        <v>72</v>
      </c>
      <c r="E19" s="26" t="n">
        <f aca="false">D19*Dashboard!$B$19</f>
        <v>22500</v>
      </c>
      <c r="F19" s="41" t="n">
        <f aca="false">E19*12</f>
        <v>270000</v>
      </c>
      <c r="G19" s="21" t="n">
        <f aca="false">F19/Dashboard!$B$12</f>
        <v>0.27</v>
      </c>
      <c r="H19" s="10" t="n">
        <v>24</v>
      </c>
      <c r="I19" s="40" t="n">
        <f aca="false">I18+H19-ROUND(I18*Dashboard!$B$11,0)</f>
        <v>128</v>
      </c>
      <c r="J19" s="26" t="n">
        <f aca="false">I19*Dashboard!$B$19</f>
        <v>40000</v>
      </c>
      <c r="K19" s="41" t="n">
        <f aca="false">J19*12</f>
        <v>480000</v>
      </c>
      <c r="L19" s="10" t="n">
        <v>40</v>
      </c>
      <c r="M19" s="40" t="n">
        <f aca="false">M18+L19-ROUND(M18*Dashboard!$B$11,0)</f>
        <v>233</v>
      </c>
      <c r="N19" s="26" t="n">
        <f aca="false">M19*Dashboard!$B$19</f>
        <v>72812.5</v>
      </c>
      <c r="O19" s="41" t="n">
        <f aca="false">N19*12</f>
        <v>873750</v>
      </c>
    </row>
    <row r="20" customFormat="false" ht="15" hidden="false" customHeight="false" outlineLevel="0" collapsed="false">
      <c r="A20" s="24" t="s">
        <v>109</v>
      </c>
      <c r="B20" s="24" t="n">
        <v>16</v>
      </c>
      <c r="C20" s="10" t="n">
        <v>14</v>
      </c>
      <c r="D20" s="40" t="n">
        <f aca="false">D19+C20-ROUND(D19*Dashboard!$B$11,0)</f>
        <v>82</v>
      </c>
      <c r="E20" s="26" t="n">
        <f aca="false">D20*Dashboard!$B$19</f>
        <v>25625</v>
      </c>
      <c r="F20" s="41" t="n">
        <f aca="false">E20*12</f>
        <v>307500</v>
      </c>
      <c r="G20" s="21" t="n">
        <f aca="false">F20/Dashboard!$B$12</f>
        <v>0.3075</v>
      </c>
      <c r="H20" s="10" t="n">
        <v>27</v>
      </c>
      <c r="I20" s="40" t="n">
        <f aca="false">I19+H20-ROUND(I19*Dashboard!$B$11,0)</f>
        <v>149</v>
      </c>
      <c r="J20" s="26" t="n">
        <f aca="false">I20*Dashboard!$B$19</f>
        <v>46562.5</v>
      </c>
      <c r="K20" s="41" t="n">
        <f aca="false">J20*12</f>
        <v>558750</v>
      </c>
      <c r="L20" s="10" t="n">
        <v>44</v>
      </c>
      <c r="M20" s="40" t="n">
        <f aca="false">M19+L20-ROUND(M19*Dashboard!$B$11,0)</f>
        <v>265</v>
      </c>
      <c r="N20" s="26" t="n">
        <f aca="false">M20*Dashboard!$B$19</f>
        <v>82812.5</v>
      </c>
      <c r="O20" s="41" t="n">
        <f aca="false">N20*12</f>
        <v>993750</v>
      </c>
    </row>
    <row r="21" customFormat="false" ht="15" hidden="false" customHeight="false" outlineLevel="0" collapsed="false">
      <c r="A21" s="24" t="s">
        <v>110</v>
      </c>
      <c r="B21" s="24" t="n">
        <v>17</v>
      </c>
      <c r="C21" s="10" t="n">
        <v>16</v>
      </c>
      <c r="D21" s="40" t="n">
        <f aca="false">D20+C21-ROUND(D20*Dashboard!$B$11,0)</f>
        <v>94</v>
      </c>
      <c r="E21" s="26" t="n">
        <f aca="false">D21*Dashboard!$B$19</f>
        <v>29375</v>
      </c>
      <c r="F21" s="41" t="n">
        <f aca="false">E21*12</f>
        <v>352500</v>
      </c>
      <c r="G21" s="21" t="n">
        <f aca="false">F21/Dashboard!$B$12</f>
        <v>0.3525</v>
      </c>
      <c r="H21" s="10" t="n">
        <v>30</v>
      </c>
      <c r="I21" s="40" t="n">
        <f aca="false">I20+H21-ROUND(I20*Dashboard!$B$11,0)</f>
        <v>172</v>
      </c>
      <c r="J21" s="26" t="n">
        <f aca="false">I21*Dashboard!$B$19</f>
        <v>53750</v>
      </c>
      <c r="K21" s="41" t="n">
        <f aca="false">J21*12</f>
        <v>645000</v>
      </c>
      <c r="L21" s="10" t="n">
        <v>48</v>
      </c>
      <c r="M21" s="40" t="n">
        <f aca="false">M20+L21-ROUND(M20*Dashboard!$B$11,0)</f>
        <v>300</v>
      </c>
      <c r="N21" s="26" t="n">
        <f aca="false">M21*Dashboard!$B$19</f>
        <v>93750</v>
      </c>
      <c r="O21" s="41" t="n">
        <f aca="false">N21*12</f>
        <v>1125000</v>
      </c>
    </row>
    <row r="22" customFormat="false" ht="15" hidden="false" customHeight="false" outlineLevel="0" collapsed="false">
      <c r="A22" s="24" t="s">
        <v>111</v>
      </c>
      <c r="B22" s="24" t="n">
        <v>18</v>
      </c>
      <c r="C22" s="10" t="n">
        <v>18</v>
      </c>
      <c r="D22" s="40" t="n">
        <f aca="false">D21+C22-ROUND(D21*Dashboard!$B$11,0)</f>
        <v>107</v>
      </c>
      <c r="E22" s="26" t="n">
        <f aca="false">D22*Dashboard!$B$19</f>
        <v>33437.5</v>
      </c>
      <c r="F22" s="41" t="n">
        <f aca="false">E22*12</f>
        <v>401250</v>
      </c>
      <c r="G22" s="21" t="n">
        <f aca="false">F22/Dashboard!$B$12</f>
        <v>0.40125</v>
      </c>
      <c r="H22" s="10" t="n">
        <v>33</v>
      </c>
      <c r="I22" s="40" t="n">
        <f aca="false">I21+H22-ROUND(I21*Dashboard!$B$11,0)</f>
        <v>196</v>
      </c>
      <c r="J22" s="26" t="n">
        <f aca="false">I22*Dashboard!$B$19</f>
        <v>61250</v>
      </c>
      <c r="K22" s="41" t="n">
        <f aca="false">J22*12</f>
        <v>735000</v>
      </c>
      <c r="L22" s="10" t="n">
        <v>52</v>
      </c>
      <c r="M22" s="40" t="n">
        <f aca="false">M21+L22-ROUND(M21*Dashboard!$B$11,0)</f>
        <v>337</v>
      </c>
      <c r="N22" s="26" t="n">
        <f aca="false">M22*Dashboard!$B$19</f>
        <v>105312.5</v>
      </c>
      <c r="O22" s="41" t="n">
        <f aca="false">N22*12</f>
        <v>1263750</v>
      </c>
    </row>
    <row r="23" customFormat="false" ht="15" hidden="false" customHeight="false" outlineLevel="0" collapsed="false">
      <c r="A23" s="24" t="s">
        <v>112</v>
      </c>
      <c r="B23" s="24" t="n">
        <v>19</v>
      </c>
      <c r="C23" s="10" t="n">
        <v>20</v>
      </c>
      <c r="D23" s="40" t="n">
        <f aca="false">D22+C23-ROUND(D22*Dashboard!$B$11,0)</f>
        <v>122</v>
      </c>
      <c r="E23" s="26" t="n">
        <f aca="false">D23*Dashboard!$B$19</f>
        <v>38125</v>
      </c>
      <c r="F23" s="41" t="n">
        <f aca="false">E23*12</f>
        <v>457500</v>
      </c>
      <c r="G23" s="21" t="n">
        <f aca="false">F23/Dashboard!$B$12</f>
        <v>0.4575</v>
      </c>
      <c r="H23" s="10" t="n">
        <v>36</v>
      </c>
      <c r="I23" s="40" t="n">
        <f aca="false">I22+H23-ROUND(I22*Dashboard!$B$11,0)</f>
        <v>222</v>
      </c>
      <c r="J23" s="26" t="n">
        <f aca="false">I23*Dashboard!$B$19</f>
        <v>69375</v>
      </c>
      <c r="K23" s="41" t="n">
        <f aca="false">J23*12</f>
        <v>832500</v>
      </c>
      <c r="L23" s="10" t="n">
        <v>56</v>
      </c>
      <c r="M23" s="40" t="n">
        <f aca="false">M22+L23-ROUND(M22*Dashboard!$B$11,0)</f>
        <v>376</v>
      </c>
      <c r="N23" s="26" t="n">
        <f aca="false">M23*Dashboard!$B$19</f>
        <v>117500</v>
      </c>
      <c r="O23" s="41" t="n">
        <f aca="false">N23*12</f>
        <v>1410000</v>
      </c>
    </row>
    <row r="24" customFormat="false" ht="15" hidden="false" customHeight="false" outlineLevel="0" collapsed="false">
      <c r="A24" s="24" t="s">
        <v>113</v>
      </c>
      <c r="B24" s="24" t="n">
        <v>20</v>
      </c>
      <c r="C24" s="10" t="n">
        <v>22</v>
      </c>
      <c r="D24" s="40" t="n">
        <f aca="false">D23+C24-ROUND(D23*Dashboard!$B$11,0)</f>
        <v>138</v>
      </c>
      <c r="E24" s="26" t="n">
        <f aca="false">D24*Dashboard!$B$19</f>
        <v>43125</v>
      </c>
      <c r="F24" s="41" t="n">
        <f aca="false">E24*12</f>
        <v>517500</v>
      </c>
      <c r="G24" s="21" t="n">
        <f aca="false">F24/Dashboard!$B$12</f>
        <v>0.5175</v>
      </c>
      <c r="H24" s="10" t="n">
        <v>40</v>
      </c>
      <c r="I24" s="40" t="n">
        <f aca="false">I23+H24-ROUND(I23*Dashboard!$B$11,0)</f>
        <v>251</v>
      </c>
      <c r="J24" s="26" t="n">
        <f aca="false">I24*Dashboard!$B$19</f>
        <v>78437.5</v>
      </c>
      <c r="K24" s="41" t="n">
        <f aca="false">J24*12</f>
        <v>941250</v>
      </c>
      <c r="L24" s="10" t="n">
        <v>60</v>
      </c>
      <c r="M24" s="40" t="n">
        <f aca="false">M23+L24-ROUND(M23*Dashboard!$B$11,0)</f>
        <v>417</v>
      </c>
      <c r="N24" s="26" t="n">
        <f aca="false">M24*Dashboard!$B$19</f>
        <v>130312.5</v>
      </c>
      <c r="O24" s="41" t="n">
        <f aca="false">N24*12</f>
        <v>1563750</v>
      </c>
    </row>
    <row r="25" customFormat="false" ht="15" hidden="false" customHeight="false" outlineLevel="0" collapsed="false">
      <c r="A25" s="24" t="s">
        <v>114</v>
      </c>
      <c r="B25" s="24" t="n">
        <v>21</v>
      </c>
      <c r="C25" s="10" t="n">
        <v>24</v>
      </c>
      <c r="D25" s="40" t="n">
        <f aca="false">D24+C25-ROUND(D24*Dashboard!$B$11,0)</f>
        <v>155</v>
      </c>
      <c r="E25" s="26" t="n">
        <f aca="false">D25*Dashboard!$B$19</f>
        <v>48437.5</v>
      </c>
      <c r="F25" s="41" t="n">
        <f aca="false">E25*12</f>
        <v>581250</v>
      </c>
      <c r="G25" s="21" t="n">
        <f aca="false">F25/Dashboard!$B$12</f>
        <v>0.58125</v>
      </c>
      <c r="H25" s="10" t="n">
        <v>44</v>
      </c>
      <c r="I25" s="40" t="n">
        <f aca="false">I24+H25-ROUND(I24*Dashboard!$B$11,0)</f>
        <v>282</v>
      </c>
      <c r="J25" s="26" t="n">
        <f aca="false">I25*Dashboard!$B$19</f>
        <v>88125</v>
      </c>
      <c r="K25" s="41" t="n">
        <f aca="false">J25*12</f>
        <v>1057500</v>
      </c>
      <c r="L25" s="10" t="n">
        <v>64</v>
      </c>
      <c r="M25" s="40" t="n">
        <f aca="false">M24+L25-ROUND(M24*Dashboard!$B$11,0)</f>
        <v>460</v>
      </c>
      <c r="N25" s="26" t="n">
        <f aca="false">M25*Dashboard!$B$19</f>
        <v>143750</v>
      </c>
      <c r="O25" s="41" t="n">
        <f aca="false">N25*12</f>
        <v>1725000</v>
      </c>
    </row>
    <row r="26" customFormat="false" ht="15" hidden="false" customHeight="false" outlineLevel="0" collapsed="false">
      <c r="A26" s="24" t="s">
        <v>115</v>
      </c>
      <c r="B26" s="24" t="n">
        <v>22</v>
      </c>
      <c r="C26" s="10" t="n">
        <v>26</v>
      </c>
      <c r="D26" s="40" t="n">
        <f aca="false">D25+C26-ROUND(D25*Dashboard!$B$11,0)</f>
        <v>173</v>
      </c>
      <c r="E26" s="26" t="n">
        <f aca="false">D26*Dashboard!$B$19</f>
        <v>54062.5</v>
      </c>
      <c r="F26" s="41" t="n">
        <f aca="false">E26*12</f>
        <v>648750</v>
      </c>
      <c r="G26" s="21" t="n">
        <f aca="false">F26/Dashboard!$B$12</f>
        <v>0.64875</v>
      </c>
      <c r="H26" s="10" t="n">
        <v>48</v>
      </c>
      <c r="I26" s="40" t="n">
        <f aca="false">I25+H26-ROUND(I25*Dashboard!$B$11,0)</f>
        <v>316</v>
      </c>
      <c r="J26" s="26" t="n">
        <f aca="false">I26*Dashboard!$B$19</f>
        <v>98750</v>
      </c>
      <c r="K26" s="41" t="n">
        <f aca="false">J26*12</f>
        <v>1185000</v>
      </c>
      <c r="L26" s="10" t="n">
        <v>68</v>
      </c>
      <c r="M26" s="40" t="n">
        <f aca="false">M25+L26-ROUND(M25*Dashboard!$B$11,0)</f>
        <v>505</v>
      </c>
      <c r="N26" s="26" t="n">
        <f aca="false">M26*Dashboard!$B$19</f>
        <v>157812.5</v>
      </c>
      <c r="O26" s="41" t="n">
        <f aca="false">N26*12</f>
        <v>1893750</v>
      </c>
    </row>
    <row r="27" customFormat="false" ht="15" hidden="false" customHeight="false" outlineLevel="0" collapsed="false">
      <c r="A27" s="24" t="s">
        <v>116</v>
      </c>
      <c r="B27" s="24" t="n">
        <v>23</v>
      </c>
      <c r="C27" s="10" t="n">
        <v>28</v>
      </c>
      <c r="D27" s="40" t="n">
        <f aca="false">D26+C27-ROUND(D26*Dashboard!$B$11,0)</f>
        <v>192</v>
      </c>
      <c r="E27" s="26" t="n">
        <f aca="false">D27*Dashboard!$B$19</f>
        <v>60000</v>
      </c>
      <c r="F27" s="41" t="n">
        <f aca="false">E27*12</f>
        <v>720000</v>
      </c>
      <c r="G27" s="21" t="n">
        <f aca="false">F27/Dashboard!$B$12</f>
        <v>0.72</v>
      </c>
      <c r="H27" s="10" t="n">
        <v>52</v>
      </c>
      <c r="I27" s="40" t="n">
        <f aca="false">I26+H27-ROUND(I26*Dashboard!$B$11,0)</f>
        <v>352</v>
      </c>
      <c r="J27" s="26" t="n">
        <f aca="false">I27*Dashboard!$B$19</f>
        <v>110000</v>
      </c>
      <c r="K27" s="41" t="n">
        <f aca="false">J27*12</f>
        <v>1320000</v>
      </c>
      <c r="L27" s="10" t="n">
        <v>72</v>
      </c>
      <c r="M27" s="40" t="n">
        <f aca="false">M26+L27-ROUND(M26*Dashboard!$B$11,0)</f>
        <v>552</v>
      </c>
      <c r="N27" s="26" t="n">
        <f aca="false">M27*Dashboard!$B$19</f>
        <v>172500</v>
      </c>
      <c r="O27" s="41" t="n">
        <f aca="false">N27*12</f>
        <v>2070000</v>
      </c>
    </row>
    <row r="28" customFormat="false" ht="15" hidden="false" customHeight="false" outlineLevel="0" collapsed="false">
      <c r="A28" s="24" t="s">
        <v>117</v>
      </c>
      <c r="B28" s="24" t="n">
        <v>24</v>
      </c>
      <c r="C28" s="10" t="n">
        <v>30</v>
      </c>
      <c r="D28" s="40" t="n">
        <f aca="false">D27+C28-ROUND(D27*Dashboard!$B$11,0)</f>
        <v>212</v>
      </c>
      <c r="E28" s="26" t="n">
        <f aca="false">D28*Dashboard!$B$19</f>
        <v>66250</v>
      </c>
      <c r="F28" s="41" t="n">
        <f aca="false">E28*12</f>
        <v>795000</v>
      </c>
      <c r="G28" s="21" t="n">
        <f aca="false">F28/Dashboard!$B$12</f>
        <v>0.795</v>
      </c>
      <c r="H28" s="10" t="n">
        <v>56</v>
      </c>
      <c r="I28" s="40" t="n">
        <f aca="false">I27+H28-ROUND(I27*Dashboard!$B$11,0)</f>
        <v>390</v>
      </c>
      <c r="J28" s="26" t="n">
        <f aca="false">I28*Dashboard!$B$19</f>
        <v>121875</v>
      </c>
      <c r="K28" s="41" t="n">
        <f aca="false">J28*12</f>
        <v>1462500</v>
      </c>
      <c r="L28" s="10" t="n">
        <v>76</v>
      </c>
      <c r="M28" s="40" t="n">
        <f aca="false">M27+L28-ROUND(M27*Dashboard!$B$11,0)</f>
        <v>600</v>
      </c>
      <c r="N28" s="26" t="n">
        <f aca="false">M28*Dashboard!$B$19</f>
        <v>187500</v>
      </c>
      <c r="O28" s="41" t="n">
        <f aca="false">N28*12</f>
        <v>2250000</v>
      </c>
    </row>
    <row r="29" customFormat="false" ht="15" hidden="false" customHeight="false" outlineLevel="0" collapsed="false">
      <c r="A29" s="42" t="s">
        <v>127</v>
      </c>
      <c r="B29" s="43" t="n">
        <v>24</v>
      </c>
      <c r="C29" s="44" t="n">
        <f aca="false">C28</f>
        <v>30</v>
      </c>
      <c r="D29" s="44" t="n">
        <f aca="false">D28</f>
        <v>212</v>
      </c>
      <c r="E29" s="45" t="n">
        <f aca="false">E28</f>
        <v>66250</v>
      </c>
      <c r="F29" s="45" t="n">
        <f aca="false">F28</f>
        <v>795000</v>
      </c>
      <c r="G29" s="46" t="n">
        <f aca="false">G28</f>
        <v>0.795</v>
      </c>
      <c r="H29" s="44" t="n">
        <f aca="false">H28</f>
        <v>56</v>
      </c>
      <c r="I29" s="44" t="n">
        <f aca="false">I28</f>
        <v>390</v>
      </c>
      <c r="J29" s="45" t="n">
        <f aca="false">J28</f>
        <v>121875</v>
      </c>
      <c r="K29" s="45" t="n">
        <f aca="false">K28</f>
        <v>1462500</v>
      </c>
      <c r="L29" s="44" t="n">
        <f aca="false">L28</f>
        <v>76</v>
      </c>
      <c r="M29" s="44" t="n">
        <f aca="false">M28</f>
        <v>600</v>
      </c>
      <c r="N29" s="45" t="n">
        <f aca="false">N28</f>
        <v>187500</v>
      </c>
      <c r="O29" s="45" t="n">
        <f aca="false">O28</f>
        <v>2250000</v>
      </c>
    </row>
    <row r="32" customFormat="false" ht="15" hidden="false" customHeight="false" outlineLevel="0" collapsed="false">
      <c r="A32" s="22" t="s">
        <v>128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</row>
    <row r="33" customFormat="false" ht="15" hidden="false" customHeight="true" outlineLevel="0" collapsed="false">
      <c r="A33" s="23" t="s">
        <v>129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customFormat="false" ht="15" hidden="false" customHeight="true" outlineLevel="0" collapsed="false">
      <c r="A34" s="23" t="s">
        <v>130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customFormat="false" ht="15" hidden="false" customHeight="true" outlineLevel="0" collapsed="false">
      <c r="A35" s="23" t="s">
        <v>131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</row>
    <row r="36" customFormat="false" ht="15" hidden="false" customHeight="true" outlineLevel="0" collapsed="false">
      <c r="A36" s="23" t="s">
        <v>132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</sheetData>
  <mergeCells count="10">
    <mergeCell ref="A1:O1"/>
    <mergeCell ref="A2:O2"/>
    <mergeCell ref="C3:G3"/>
    <mergeCell ref="H3:K3"/>
    <mergeCell ref="L3:O3"/>
    <mergeCell ref="A32:O32"/>
    <mergeCell ref="A33:O33"/>
    <mergeCell ref="A34:O34"/>
    <mergeCell ref="A35:O35"/>
    <mergeCell ref="A36:O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6" min="4" style="0" width="22"/>
    <col collapsed="false" customWidth="true" hidden="false" outlineLevel="0" max="7" min="7" style="0" width="24"/>
    <col collapsed="false" customWidth="true" hidden="false" outlineLevel="0" max="8" min="8" style="0" width="18"/>
  </cols>
  <sheetData>
    <row r="1" customFormat="false" ht="27.7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134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135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136</v>
      </c>
      <c r="B5" s="4" t="s">
        <v>137</v>
      </c>
      <c r="C5" s="4" t="s">
        <v>138</v>
      </c>
      <c r="D5" s="4" t="s">
        <v>139</v>
      </c>
      <c r="E5" s="4" t="s">
        <v>140</v>
      </c>
      <c r="F5" s="4" t="s">
        <v>141</v>
      </c>
      <c r="G5" s="4" t="s">
        <v>142</v>
      </c>
      <c r="H5" s="4" t="s">
        <v>143</v>
      </c>
    </row>
    <row r="6" customFormat="false" ht="15" hidden="false" customHeight="false" outlineLevel="0" collapsed="false">
      <c r="A6" s="47" t="n">
        <v>1</v>
      </c>
      <c r="B6" s="21" t="n">
        <f aca="false">1-A6</f>
        <v>0</v>
      </c>
      <c r="C6" s="48" t="n">
        <f aca="false">A6*Dashboard!$B$6+B6*Dashboard!$B$7</f>
        <v>25</v>
      </c>
      <c r="D6" s="48" t="n">
        <f aca="false">C6*Dashboard!$B$10</f>
        <v>250</v>
      </c>
      <c r="E6" s="26" t="n">
        <f aca="false">D6*12</f>
        <v>3000</v>
      </c>
      <c r="F6" s="15" t="n">
        <f aca="false">ROUNDUP(Dashboard!$B$12/E6,0)</f>
        <v>334</v>
      </c>
      <c r="G6" s="25" t="n">
        <f aca="false">F6*Dashboard!$B$10</f>
        <v>3340</v>
      </c>
      <c r="H6" s="21" t="n">
        <f aca="false">F6/ROUNDUP(Dashboard!$B$12/Dashboard!$B$20,0)-1</f>
        <v>0.250936329588015</v>
      </c>
    </row>
    <row r="7" customFormat="false" ht="15" hidden="false" customHeight="false" outlineLevel="0" collapsed="false">
      <c r="A7" s="47" t="n">
        <v>0.9</v>
      </c>
      <c r="B7" s="21" t="n">
        <f aca="false">1-A7</f>
        <v>0.1</v>
      </c>
      <c r="C7" s="48" t="n">
        <f aca="false">A7*Dashboard!$B$6+B7*Dashboard!$B$7</f>
        <v>27.5</v>
      </c>
      <c r="D7" s="48" t="n">
        <f aca="false">C7*Dashboard!$B$10</f>
        <v>275</v>
      </c>
      <c r="E7" s="26" t="n">
        <f aca="false">D7*12</f>
        <v>3300</v>
      </c>
      <c r="F7" s="15" t="n">
        <f aca="false">ROUNDUP(Dashboard!$B$12/E7,0)</f>
        <v>304</v>
      </c>
      <c r="G7" s="25" t="n">
        <f aca="false">F7*Dashboard!$B$10</f>
        <v>3040</v>
      </c>
      <c r="H7" s="21" t="n">
        <f aca="false">F7/ROUNDUP(Dashboard!$B$12/Dashboard!$B$20,0)-1</f>
        <v>0.138576779026217</v>
      </c>
    </row>
    <row r="8" customFormat="false" ht="15" hidden="false" customHeight="false" outlineLevel="0" collapsed="false">
      <c r="A8" s="47" t="n">
        <v>0.75</v>
      </c>
      <c r="B8" s="21" t="n">
        <f aca="false">1-A8</f>
        <v>0.25</v>
      </c>
      <c r="C8" s="48" t="n">
        <f aca="false">A8*Dashboard!$B$6+B8*Dashboard!$B$7</f>
        <v>31.25</v>
      </c>
      <c r="D8" s="48" t="n">
        <f aca="false">C8*Dashboard!$B$10</f>
        <v>312.5</v>
      </c>
      <c r="E8" s="26" t="n">
        <f aca="false">D8*12</f>
        <v>3750</v>
      </c>
      <c r="F8" s="15" t="n">
        <f aca="false">ROUNDUP(Dashboard!$B$12/E8,0)</f>
        <v>267</v>
      </c>
      <c r="G8" s="25" t="n">
        <f aca="false">F8*Dashboard!$B$10</f>
        <v>2670</v>
      </c>
      <c r="H8" s="21" t="n">
        <f aca="false">F8/ROUNDUP(Dashboard!$B$12/Dashboard!$B$20,0)-1</f>
        <v>0</v>
      </c>
    </row>
    <row r="9" customFormat="false" ht="15" hidden="false" customHeight="false" outlineLevel="0" collapsed="false">
      <c r="A9" s="47" t="n">
        <v>0.6</v>
      </c>
      <c r="B9" s="21" t="n">
        <f aca="false">1-A9</f>
        <v>0.4</v>
      </c>
      <c r="C9" s="48" t="n">
        <f aca="false">A9*Dashboard!$B$6+B9*Dashboard!$B$7</f>
        <v>35</v>
      </c>
      <c r="D9" s="48" t="n">
        <f aca="false">C9*Dashboard!$B$10</f>
        <v>350</v>
      </c>
      <c r="E9" s="26" t="n">
        <f aca="false">D9*12</f>
        <v>4200</v>
      </c>
      <c r="F9" s="15" t="n">
        <f aca="false">ROUNDUP(Dashboard!$B$12/E9,0)</f>
        <v>239</v>
      </c>
      <c r="G9" s="25" t="n">
        <f aca="false">F9*Dashboard!$B$10</f>
        <v>2390</v>
      </c>
      <c r="H9" s="21" t="n">
        <f aca="false">F9/ROUNDUP(Dashboard!$B$12/Dashboard!$B$20,0)-1</f>
        <v>-0.104868913857678</v>
      </c>
    </row>
    <row r="10" customFormat="false" ht="15" hidden="false" customHeight="false" outlineLevel="0" collapsed="false">
      <c r="A10" s="47" t="n">
        <v>0.5</v>
      </c>
      <c r="B10" s="21" t="n">
        <f aca="false">1-A10</f>
        <v>0.5</v>
      </c>
      <c r="C10" s="48" t="n">
        <f aca="false">A10*Dashboard!$B$6+B10*Dashboard!$B$7</f>
        <v>37.5</v>
      </c>
      <c r="D10" s="48" t="n">
        <f aca="false">C10*Dashboard!$B$10</f>
        <v>375</v>
      </c>
      <c r="E10" s="26" t="n">
        <f aca="false">D10*12</f>
        <v>4500</v>
      </c>
      <c r="F10" s="15" t="n">
        <f aca="false">ROUNDUP(Dashboard!$B$12/E10,0)</f>
        <v>223</v>
      </c>
      <c r="G10" s="25" t="n">
        <f aca="false">F10*Dashboard!$B$10</f>
        <v>2230</v>
      </c>
      <c r="H10" s="21" t="n">
        <f aca="false">F10/ROUNDUP(Dashboard!$B$12/Dashboard!$B$20,0)-1</f>
        <v>-0.164794007490637</v>
      </c>
    </row>
    <row r="11" customFormat="false" ht="15" hidden="false" customHeight="false" outlineLevel="0" collapsed="false">
      <c r="A11" s="47" t="n">
        <v>0.25</v>
      </c>
      <c r="B11" s="21" t="n">
        <f aca="false">1-A11</f>
        <v>0.75</v>
      </c>
      <c r="C11" s="48" t="n">
        <f aca="false">A11*Dashboard!$B$6+B11*Dashboard!$B$7</f>
        <v>43.75</v>
      </c>
      <c r="D11" s="48" t="n">
        <f aca="false">C11*Dashboard!$B$10</f>
        <v>437.5</v>
      </c>
      <c r="E11" s="26" t="n">
        <f aca="false">D11*12</f>
        <v>5250</v>
      </c>
      <c r="F11" s="15" t="n">
        <f aca="false">ROUNDUP(Dashboard!$B$12/E11,0)</f>
        <v>191</v>
      </c>
      <c r="G11" s="25" t="n">
        <f aca="false">F11*Dashboard!$B$10</f>
        <v>1910</v>
      </c>
      <c r="H11" s="21" t="n">
        <f aca="false">F11/ROUNDUP(Dashboard!$B$12/Dashboard!$B$20,0)-1</f>
        <v>-0.284644194756554</v>
      </c>
    </row>
    <row r="12" customFormat="false" ht="15" hidden="false" customHeight="false" outlineLevel="0" collapsed="false">
      <c r="A12" s="47" t="n">
        <v>0</v>
      </c>
      <c r="B12" s="21" t="n">
        <f aca="false">1-A12</f>
        <v>1</v>
      </c>
      <c r="C12" s="48" t="n">
        <f aca="false">A12*Dashboard!$B$6+B12*Dashboard!$B$7</f>
        <v>50</v>
      </c>
      <c r="D12" s="48" t="n">
        <f aca="false">C12*Dashboard!$B$10</f>
        <v>500</v>
      </c>
      <c r="E12" s="26" t="n">
        <f aca="false">D12*12</f>
        <v>6000</v>
      </c>
      <c r="F12" s="15" t="n">
        <f aca="false">ROUNDUP(Dashboard!$B$12/E12,0)</f>
        <v>167</v>
      </c>
      <c r="G12" s="25" t="n">
        <f aca="false">F12*Dashboard!$B$10</f>
        <v>1670</v>
      </c>
      <c r="H12" s="21" t="n">
        <f aca="false">F12/ROUNDUP(Dashboard!$B$12/Dashboard!$B$20,0)-1</f>
        <v>-0.374531835205993</v>
      </c>
    </row>
    <row r="14" customFormat="false" ht="15" hidden="false" customHeight="false" outlineLevel="0" collapsed="false">
      <c r="A14" s="3" t="s">
        <v>144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4" t="s">
        <v>145</v>
      </c>
      <c r="B15" s="4" t="s">
        <v>138</v>
      </c>
      <c r="C15" s="4" t="s">
        <v>139</v>
      </c>
      <c r="D15" s="4" t="s">
        <v>140</v>
      </c>
      <c r="E15" s="4" t="s">
        <v>141</v>
      </c>
      <c r="F15" s="4" t="s">
        <v>142</v>
      </c>
      <c r="G15" s="4" t="s">
        <v>146</v>
      </c>
      <c r="H15" s="4" t="s">
        <v>147</v>
      </c>
    </row>
    <row r="16" customFormat="false" ht="15" hidden="false" customHeight="false" outlineLevel="0" collapsed="false">
      <c r="A16" s="49" t="n">
        <v>3</v>
      </c>
      <c r="B16" s="50" t="n">
        <f aca="false">Dashboard!$B$18</f>
        <v>31.25</v>
      </c>
      <c r="C16" s="48" t="n">
        <f aca="false">B16*A16</f>
        <v>93.75</v>
      </c>
      <c r="D16" s="26" t="n">
        <f aca="false">C16*12</f>
        <v>1125</v>
      </c>
      <c r="E16" s="15" t="n">
        <f aca="false">ROUNDUP(Dashboard!$B$12/D16,0)</f>
        <v>889</v>
      </c>
      <c r="F16" s="25" t="n">
        <f aca="false">E16*A16</f>
        <v>2667</v>
      </c>
      <c r="G16" s="26" t="n">
        <f aca="false">E16*C16</f>
        <v>83343.75</v>
      </c>
      <c r="H16" s="26" t="n">
        <f aca="false">G16*12</f>
        <v>1000125</v>
      </c>
    </row>
    <row r="17" customFormat="false" ht="15" hidden="false" customHeight="false" outlineLevel="0" collapsed="false">
      <c r="A17" s="49" t="n">
        <v>5</v>
      </c>
      <c r="B17" s="50" t="n">
        <f aca="false">Dashboard!$B$18</f>
        <v>31.25</v>
      </c>
      <c r="C17" s="48" t="n">
        <f aca="false">B17*A17</f>
        <v>156.25</v>
      </c>
      <c r="D17" s="26" t="n">
        <f aca="false">C17*12</f>
        <v>1875</v>
      </c>
      <c r="E17" s="15" t="n">
        <f aca="false">ROUNDUP(Dashboard!$B$12/D17,0)</f>
        <v>534</v>
      </c>
      <c r="F17" s="25" t="n">
        <f aca="false">E17*A17</f>
        <v>2670</v>
      </c>
      <c r="G17" s="26" t="n">
        <f aca="false">E17*C17</f>
        <v>83437.5</v>
      </c>
      <c r="H17" s="26" t="n">
        <f aca="false">G17*12</f>
        <v>1001250</v>
      </c>
    </row>
    <row r="18" customFormat="false" ht="15" hidden="false" customHeight="false" outlineLevel="0" collapsed="false">
      <c r="A18" s="49" t="n">
        <v>7</v>
      </c>
      <c r="B18" s="50" t="n">
        <f aca="false">Dashboard!$B$18</f>
        <v>31.25</v>
      </c>
      <c r="C18" s="48" t="n">
        <f aca="false">B18*A18</f>
        <v>218.75</v>
      </c>
      <c r="D18" s="26" t="n">
        <f aca="false">C18*12</f>
        <v>2625</v>
      </c>
      <c r="E18" s="15" t="n">
        <f aca="false">ROUNDUP(Dashboard!$B$12/D18,0)</f>
        <v>381</v>
      </c>
      <c r="F18" s="25" t="n">
        <f aca="false">E18*A18</f>
        <v>2667</v>
      </c>
      <c r="G18" s="26" t="n">
        <f aca="false">E18*C18</f>
        <v>83343.75</v>
      </c>
      <c r="H18" s="26" t="n">
        <f aca="false">G18*12</f>
        <v>1000125</v>
      </c>
    </row>
    <row r="19" customFormat="false" ht="15" hidden="false" customHeight="false" outlineLevel="0" collapsed="false">
      <c r="A19" s="49" t="n">
        <v>10</v>
      </c>
      <c r="B19" s="50" t="n">
        <f aca="false">Dashboard!$B$18</f>
        <v>31.25</v>
      </c>
      <c r="C19" s="48" t="n">
        <f aca="false">B19*A19</f>
        <v>312.5</v>
      </c>
      <c r="D19" s="26" t="n">
        <f aca="false">C19*12</f>
        <v>3750</v>
      </c>
      <c r="E19" s="15" t="n">
        <f aca="false">ROUNDUP(Dashboard!$B$12/D19,0)</f>
        <v>267</v>
      </c>
      <c r="F19" s="25" t="n">
        <f aca="false">E19*A19</f>
        <v>2670</v>
      </c>
      <c r="G19" s="26" t="n">
        <f aca="false">E19*C19</f>
        <v>83437.5</v>
      </c>
      <c r="H19" s="26" t="n">
        <f aca="false">G19*12</f>
        <v>1001250</v>
      </c>
    </row>
    <row r="20" customFormat="false" ht="15" hidden="false" customHeight="false" outlineLevel="0" collapsed="false">
      <c r="A20" s="49" t="n">
        <v>15</v>
      </c>
      <c r="B20" s="50" t="n">
        <f aca="false">Dashboard!$B$18</f>
        <v>31.25</v>
      </c>
      <c r="C20" s="48" t="n">
        <f aca="false">B20*A20</f>
        <v>468.75</v>
      </c>
      <c r="D20" s="26" t="n">
        <f aca="false">C20*12</f>
        <v>5625</v>
      </c>
      <c r="E20" s="15" t="n">
        <f aca="false">ROUNDUP(Dashboard!$B$12/D20,0)</f>
        <v>178</v>
      </c>
      <c r="F20" s="25" t="n">
        <f aca="false">E20*A20</f>
        <v>2670</v>
      </c>
      <c r="G20" s="26" t="n">
        <f aca="false">E20*C20</f>
        <v>83437.5</v>
      </c>
      <c r="H20" s="26" t="n">
        <f aca="false">G20*12</f>
        <v>1001250</v>
      </c>
    </row>
    <row r="21" customFormat="false" ht="15" hidden="false" customHeight="false" outlineLevel="0" collapsed="false">
      <c r="A21" s="49" t="n">
        <v>20</v>
      </c>
      <c r="B21" s="50" t="n">
        <f aca="false">Dashboard!$B$18</f>
        <v>31.25</v>
      </c>
      <c r="C21" s="48" t="n">
        <f aca="false">B21*A21</f>
        <v>625</v>
      </c>
      <c r="D21" s="26" t="n">
        <f aca="false">C21*12</f>
        <v>7500</v>
      </c>
      <c r="E21" s="15" t="n">
        <f aca="false">ROUNDUP(Dashboard!$B$12/D21,0)</f>
        <v>134</v>
      </c>
      <c r="F21" s="25" t="n">
        <f aca="false">E21*A21</f>
        <v>2680</v>
      </c>
      <c r="G21" s="26" t="n">
        <f aca="false">E21*C21</f>
        <v>83750</v>
      </c>
      <c r="H21" s="26" t="n">
        <f aca="false">G21*12</f>
        <v>1005000</v>
      </c>
    </row>
    <row r="22" customFormat="false" ht="15" hidden="false" customHeight="false" outlineLevel="0" collapsed="false">
      <c r="A22" s="49" t="n">
        <v>30</v>
      </c>
      <c r="B22" s="50" t="n">
        <f aca="false">Dashboard!$B$18</f>
        <v>31.25</v>
      </c>
      <c r="C22" s="48" t="n">
        <f aca="false">B22*A22</f>
        <v>937.5</v>
      </c>
      <c r="D22" s="26" t="n">
        <f aca="false">C22*12</f>
        <v>11250</v>
      </c>
      <c r="E22" s="15" t="n">
        <f aca="false">ROUNDUP(Dashboard!$B$12/D22,0)</f>
        <v>89</v>
      </c>
      <c r="F22" s="25" t="n">
        <f aca="false">E22*A22</f>
        <v>2670</v>
      </c>
      <c r="G22" s="26" t="n">
        <f aca="false">E22*C22</f>
        <v>83437.5</v>
      </c>
      <c r="H22" s="26" t="n">
        <f aca="false">G22*12</f>
        <v>1001250</v>
      </c>
    </row>
    <row r="25" customFormat="false" ht="15" hidden="false" customHeight="false" outlineLevel="0" collapsed="false">
      <c r="A25" s="3" t="s">
        <v>148</v>
      </c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4" t="s">
        <v>149</v>
      </c>
      <c r="B26" s="4" t="s">
        <v>150</v>
      </c>
      <c r="C26" s="4" t="s">
        <v>151</v>
      </c>
      <c r="D26" s="4" t="s">
        <v>152</v>
      </c>
      <c r="E26" s="4" t="s">
        <v>153</v>
      </c>
      <c r="F26" s="4" t="s">
        <v>154</v>
      </c>
      <c r="G26" s="4" t="s">
        <v>155</v>
      </c>
      <c r="H26" s="4" t="s">
        <v>156</v>
      </c>
    </row>
    <row r="27" customFormat="false" ht="15" hidden="false" customHeight="false" outlineLevel="0" collapsed="false">
      <c r="A27" s="47" t="n">
        <v>0.01</v>
      </c>
      <c r="B27" s="21" t="n">
        <f aca="false">1-(1-A27)^12</f>
        <v>0.113615128283871</v>
      </c>
      <c r="C27" s="19" t="n">
        <f aca="false">ROUNDUP(Dashboard!$B$12/Dashboard!$B$20,0)</f>
        <v>267</v>
      </c>
      <c r="D27" s="25" t="n">
        <f aca="false">ROUND(C27*A27,0)</f>
        <v>3</v>
      </c>
      <c r="E27" s="15" t="n">
        <f aca="false">D27</f>
        <v>3</v>
      </c>
      <c r="F27" s="25" t="n">
        <f aca="false">E27*12</f>
        <v>36</v>
      </c>
      <c r="G27" s="25" t="n">
        <f aca="false">1/A27</f>
        <v>100</v>
      </c>
      <c r="H27" s="26" t="n">
        <f aca="false">G27*Dashboard!$B$19</f>
        <v>31250</v>
      </c>
    </row>
    <row r="28" customFormat="false" ht="15" hidden="false" customHeight="false" outlineLevel="0" collapsed="false">
      <c r="A28" s="47" t="n">
        <v>0.02</v>
      </c>
      <c r="B28" s="21" t="n">
        <f aca="false">1-(1-A28)^12</f>
        <v>0.2152832762652</v>
      </c>
      <c r="C28" s="19" t="n">
        <f aca="false">ROUNDUP(Dashboard!$B$12/Dashboard!$B$20,0)</f>
        <v>267</v>
      </c>
      <c r="D28" s="25" t="n">
        <f aca="false">ROUND(C28*A28,0)</f>
        <v>5</v>
      </c>
      <c r="E28" s="15" t="n">
        <f aca="false">D28</f>
        <v>5</v>
      </c>
      <c r="F28" s="25" t="n">
        <f aca="false">E28*12</f>
        <v>60</v>
      </c>
      <c r="G28" s="25" t="n">
        <f aca="false">1/A28</f>
        <v>50</v>
      </c>
      <c r="H28" s="26" t="n">
        <f aca="false">G28*Dashboard!$B$19</f>
        <v>15625</v>
      </c>
    </row>
    <row r="29" customFormat="false" ht="15" hidden="false" customHeight="false" outlineLevel="0" collapsed="false">
      <c r="A29" s="47" t="n">
        <v>0.03</v>
      </c>
      <c r="B29" s="21" t="n">
        <f aca="false">1-(1-A29)^12</f>
        <v>0.306157639004562</v>
      </c>
      <c r="C29" s="19" t="n">
        <f aca="false">ROUNDUP(Dashboard!$B$12/Dashboard!$B$20,0)</f>
        <v>267</v>
      </c>
      <c r="D29" s="25" t="n">
        <f aca="false">ROUND(C29*A29,0)</f>
        <v>8</v>
      </c>
      <c r="E29" s="15" t="n">
        <f aca="false">D29</f>
        <v>8</v>
      </c>
      <c r="F29" s="25" t="n">
        <f aca="false">E29*12</f>
        <v>96</v>
      </c>
      <c r="G29" s="25" t="n">
        <f aca="false">1/A29</f>
        <v>33.3333333333333</v>
      </c>
      <c r="H29" s="26" t="n">
        <f aca="false">G29*Dashboard!$B$19</f>
        <v>10416.6666666667</v>
      </c>
    </row>
    <row r="30" customFormat="false" ht="15" hidden="false" customHeight="false" outlineLevel="0" collapsed="false">
      <c r="A30" s="47" t="n">
        <v>0.05</v>
      </c>
      <c r="B30" s="21" t="n">
        <f aca="false">1-(1-A30)^12</f>
        <v>0.459639912337363</v>
      </c>
      <c r="C30" s="19" t="n">
        <f aca="false">ROUNDUP(Dashboard!$B$12/Dashboard!$B$20,0)</f>
        <v>267</v>
      </c>
      <c r="D30" s="25" t="n">
        <f aca="false">ROUND(C30*A30,0)</f>
        <v>13</v>
      </c>
      <c r="E30" s="15" t="n">
        <f aca="false">D30</f>
        <v>13</v>
      </c>
      <c r="F30" s="25" t="n">
        <f aca="false">E30*12</f>
        <v>156</v>
      </c>
      <c r="G30" s="25" t="n">
        <f aca="false">1/A30</f>
        <v>20</v>
      </c>
      <c r="H30" s="26" t="n">
        <f aca="false">G30*Dashboard!$B$19</f>
        <v>6250</v>
      </c>
    </row>
    <row r="31" customFormat="false" ht="15" hidden="false" customHeight="false" outlineLevel="0" collapsed="false">
      <c r="A31" s="47" t="n">
        <v>0.07</v>
      </c>
      <c r="B31" s="21" t="n">
        <f aca="false">1-(1-A31)^12</f>
        <v>0.58140370252063</v>
      </c>
      <c r="C31" s="19" t="n">
        <f aca="false">ROUNDUP(Dashboard!$B$12/Dashboard!$B$20,0)</f>
        <v>267</v>
      </c>
      <c r="D31" s="25" t="n">
        <f aca="false">ROUND(C31*A31,0)</f>
        <v>19</v>
      </c>
      <c r="E31" s="15" t="n">
        <f aca="false">D31</f>
        <v>19</v>
      </c>
      <c r="F31" s="25" t="n">
        <f aca="false">E31*12</f>
        <v>228</v>
      </c>
      <c r="G31" s="25" t="n">
        <f aca="false">1/A31</f>
        <v>14.2857142857143</v>
      </c>
      <c r="H31" s="26" t="n">
        <f aca="false">G31*Dashboard!$B$19</f>
        <v>4464.28571428571</v>
      </c>
    </row>
    <row r="32" customFormat="false" ht="15" hidden="false" customHeight="false" outlineLevel="0" collapsed="false">
      <c r="A32" s="47" t="n">
        <v>0.1</v>
      </c>
      <c r="B32" s="21" t="n">
        <f aca="false">1-(1-A32)^12</f>
        <v>0.717570463519</v>
      </c>
      <c r="C32" s="19" t="n">
        <f aca="false">ROUNDUP(Dashboard!$B$12/Dashboard!$B$20,0)</f>
        <v>267</v>
      </c>
      <c r="D32" s="25" t="n">
        <f aca="false">ROUND(C32*A32,0)</f>
        <v>27</v>
      </c>
      <c r="E32" s="15" t="n">
        <f aca="false">D32</f>
        <v>27</v>
      </c>
      <c r="F32" s="25" t="n">
        <f aca="false">E32*12</f>
        <v>324</v>
      </c>
      <c r="G32" s="25" t="n">
        <f aca="false">1/A32</f>
        <v>10</v>
      </c>
      <c r="H32" s="26" t="n">
        <f aca="false">G32*Dashboard!$B$19</f>
        <v>3125</v>
      </c>
    </row>
    <row r="35" customFormat="false" ht="15" hidden="false" customHeight="false" outlineLevel="0" collapsed="false">
      <c r="A35" s="3" t="s">
        <v>157</v>
      </c>
      <c r="B35" s="3"/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A36" s="4" t="s">
        <v>158</v>
      </c>
      <c r="B36" s="4" t="s">
        <v>159</v>
      </c>
      <c r="C36" s="4" t="s">
        <v>141</v>
      </c>
      <c r="D36" s="4" t="s">
        <v>160</v>
      </c>
      <c r="E36" s="4" t="s">
        <v>161</v>
      </c>
      <c r="F36" s="4" t="s">
        <v>162</v>
      </c>
      <c r="G36" s="4" t="s">
        <v>163</v>
      </c>
      <c r="H36" s="4"/>
    </row>
    <row r="37" customFormat="false" ht="15" hidden="false" customHeight="false" outlineLevel="0" collapsed="false">
      <c r="A37" s="49" t="n">
        <v>12</v>
      </c>
      <c r="B37" s="51" t="n">
        <f aca="false">Dashboard!$B$11</f>
        <v>0.05</v>
      </c>
      <c r="C37" s="19" t="n">
        <f aca="false">ROUNDUP(Dashboard!$B$12/Dashboard!$B$20,0)</f>
        <v>267</v>
      </c>
      <c r="D37" s="52" t="n">
        <f aca="false">ROUNDUP(C37/A37,1)</f>
        <v>22.3</v>
      </c>
      <c r="E37" s="53" t="n">
        <f aca="false">ROUNDUP(D37+(C37/2)*B37,1)</f>
        <v>29</v>
      </c>
      <c r="F37" s="25" t="n">
        <f aca="false">E37*12</f>
        <v>348</v>
      </c>
      <c r="G37" s="54" t="str">
        <f aca="false">IF(E37&lt;10,"Very feasible",IF(E37&lt;25,"Realistic w/ GTM",IF(E37&lt;50,"Aggressive - need funded sales","Requires major capital")))</f>
        <v>Aggressive - need funded sales</v>
      </c>
      <c r="H37" s="31"/>
    </row>
    <row r="38" customFormat="false" ht="15" hidden="false" customHeight="false" outlineLevel="0" collapsed="false">
      <c r="A38" s="49" t="n">
        <v>18</v>
      </c>
      <c r="B38" s="51" t="n">
        <f aca="false">Dashboard!$B$11</f>
        <v>0.05</v>
      </c>
      <c r="C38" s="19" t="n">
        <f aca="false">ROUNDUP(Dashboard!$B$12/Dashboard!$B$20,0)</f>
        <v>267</v>
      </c>
      <c r="D38" s="52" t="n">
        <f aca="false">ROUNDUP(C38/A38,1)</f>
        <v>14.9</v>
      </c>
      <c r="E38" s="53" t="n">
        <f aca="false">ROUNDUP(D38+(C38/2)*B38,1)</f>
        <v>21.6</v>
      </c>
      <c r="F38" s="25" t="n">
        <f aca="false">E38*12</f>
        <v>259.2</v>
      </c>
      <c r="G38" s="54" t="str">
        <f aca="false">IF(E38&lt;10,"Very feasible",IF(E38&lt;25,"Realistic w/ GTM",IF(E38&lt;50,"Aggressive - need funded sales","Requires major capital")))</f>
        <v>Realistic w/ GTM</v>
      </c>
      <c r="H38" s="31"/>
    </row>
    <row r="39" customFormat="false" ht="15" hidden="false" customHeight="false" outlineLevel="0" collapsed="false">
      <c r="A39" s="49" t="n">
        <v>24</v>
      </c>
      <c r="B39" s="51" t="n">
        <f aca="false">Dashboard!$B$11</f>
        <v>0.05</v>
      </c>
      <c r="C39" s="19" t="n">
        <f aca="false">ROUNDUP(Dashboard!$B$12/Dashboard!$B$20,0)</f>
        <v>267</v>
      </c>
      <c r="D39" s="52" t="n">
        <f aca="false">ROUNDUP(C39/A39,1)</f>
        <v>11.2</v>
      </c>
      <c r="E39" s="53" t="n">
        <f aca="false">ROUNDUP(D39+(C39/2)*B39,1)</f>
        <v>17.9</v>
      </c>
      <c r="F39" s="25" t="n">
        <f aca="false">E39*12</f>
        <v>214.8</v>
      </c>
      <c r="G39" s="54" t="str">
        <f aca="false">IF(E39&lt;10,"Very feasible",IF(E39&lt;25,"Realistic w/ GTM",IF(E39&lt;50,"Aggressive - need funded sales","Requires major capital")))</f>
        <v>Realistic w/ GTM</v>
      </c>
      <c r="H39" s="31"/>
    </row>
    <row r="40" customFormat="false" ht="15" hidden="false" customHeight="false" outlineLevel="0" collapsed="false">
      <c r="A40" s="49" t="n">
        <v>30</v>
      </c>
      <c r="B40" s="51" t="n">
        <f aca="false">Dashboard!$B$11</f>
        <v>0.05</v>
      </c>
      <c r="C40" s="19" t="n">
        <f aca="false">ROUNDUP(Dashboard!$B$12/Dashboard!$B$20,0)</f>
        <v>267</v>
      </c>
      <c r="D40" s="52" t="n">
        <f aca="false">ROUNDUP(C40/A40,1)</f>
        <v>8.9</v>
      </c>
      <c r="E40" s="53" t="n">
        <f aca="false">ROUNDUP(D40+(C40/2)*B40,1)</f>
        <v>15.6</v>
      </c>
      <c r="F40" s="25" t="n">
        <f aca="false">E40*12</f>
        <v>187.2</v>
      </c>
      <c r="G40" s="54" t="str">
        <f aca="false">IF(E40&lt;10,"Very feasible",IF(E40&lt;25,"Realistic w/ GTM",IF(E40&lt;50,"Aggressive - need funded sales","Requires major capital")))</f>
        <v>Realistic w/ GTM</v>
      </c>
      <c r="H40" s="31"/>
    </row>
    <row r="41" customFormat="false" ht="15" hidden="false" customHeight="false" outlineLevel="0" collapsed="false">
      <c r="A41" s="49" t="n">
        <v>36</v>
      </c>
      <c r="B41" s="51" t="n">
        <f aca="false">Dashboard!$B$11</f>
        <v>0.05</v>
      </c>
      <c r="C41" s="19" t="n">
        <f aca="false">ROUNDUP(Dashboard!$B$12/Dashboard!$B$20,0)</f>
        <v>267</v>
      </c>
      <c r="D41" s="52" t="n">
        <f aca="false">ROUNDUP(C41/A41,1)</f>
        <v>7.5</v>
      </c>
      <c r="E41" s="53" t="n">
        <f aca="false">ROUNDUP(D41+(C41/2)*B41,1)</f>
        <v>14.2</v>
      </c>
      <c r="F41" s="25" t="n">
        <f aca="false">E41*12</f>
        <v>170.4</v>
      </c>
      <c r="G41" s="54" t="str">
        <f aca="false">IF(E41&lt;10,"Very feasible",IF(E41&lt;25,"Realistic w/ GTM",IF(E41&lt;50,"Aggressive - need funded sales","Requires major capital")))</f>
        <v>Realistic w/ GTM</v>
      </c>
      <c r="H41" s="31"/>
    </row>
    <row r="44" customFormat="false" ht="15" hidden="false" customHeight="false" outlineLevel="0" collapsed="false">
      <c r="A44" s="16" t="s">
        <v>164</v>
      </c>
      <c r="B44" s="16"/>
      <c r="C44" s="16"/>
      <c r="D44" s="16"/>
      <c r="E44" s="16"/>
      <c r="F44" s="16"/>
      <c r="G44" s="16"/>
      <c r="H44" s="16"/>
    </row>
    <row r="45" customFormat="false" ht="15" hidden="false" customHeight="false" outlineLevel="0" collapsed="false">
      <c r="A45" s="4" t="s">
        <v>165</v>
      </c>
      <c r="B45" s="4" t="s">
        <v>166</v>
      </c>
      <c r="C45" s="4" t="s">
        <v>167</v>
      </c>
      <c r="D45" s="4" t="s">
        <v>168</v>
      </c>
      <c r="E45" s="4" t="s">
        <v>169</v>
      </c>
      <c r="F45" s="4" t="s">
        <v>170</v>
      </c>
      <c r="G45" s="4" t="s">
        <v>171</v>
      </c>
      <c r="H45" s="4" t="s">
        <v>172</v>
      </c>
    </row>
    <row r="46" customFormat="false" ht="15" hidden="false" customHeight="false" outlineLevel="0" collapsed="false">
      <c r="A46" s="55" t="n">
        <v>0</v>
      </c>
      <c r="B46" s="51" t="n">
        <f aca="false">Dashboard!$B$14</f>
        <v>0.2</v>
      </c>
      <c r="C46" s="19" t="n">
        <f aca="false">ROUNDUP(Dashboard!$B$12/Dashboard!$B$20,0)</f>
        <v>267</v>
      </c>
      <c r="D46" s="25" t="n">
        <f aca="false">ROUND(C46*A46,0)</f>
        <v>0</v>
      </c>
      <c r="E46" s="26" t="n">
        <f aca="false">D46*Dashboard!$B$20</f>
        <v>0</v>
      </c>
      <c r="F46" s="29" t="n">
        <f aca="false">E46*B46</f>
        <v>0</v>
      </c>
      <c r="G46" s="14" t="n">
        <f aca="false">Dashboard!$B$12-F46</f>
        <v>1000000</v>
      </c>
      <c r="H46" s="21" t="n">
        <f aca="false">G46/Dashboard!$B$12</f>
        <v>1</v>
      </c>
    </row>
    <row r="47" customFormat="false" ht="15" hidden="false" customHeight="false" outlineLevel="0" collapsed="false">
      <c r="A47" s="55" t="n">
        <v>0.25</v>
      </c>
      <c r="B47" s="51" t="n">
        <f aca="false">Dashboard!$B$14</f>
        <v>0.2</v>
      </c>
      <c r="C47" s="19" t="n">
        <f aca="false">ROUNDUP(Dashboard!$B$12/Dashboard!$B$20,0)</f>
        <v>267</v>
      </c>
      <c r="D47" s="25" t="n">
        <f aca="false">ROUND(C47*A47,0)</f>
        <v>67</v>
      </c>
      <c r="E47" s="26" t="n">
        <f aca="false">D47*Dashboard!$B$20</f>
        <v>251250</v>
      </c>
      <c r="F47" s="29" t="n">
        <f aca="false">E47*B47</f>
        <v>50250</v>
      </c>
      <c r="G47" s="14" t="n">
        <f aca="false">Dashboard!$B$12-F47</f>
        <v>949750</v>
      </c>
      <c r="H47" s="21" t="n">
        <f aca="false">G47/Dashboard!$B$12</f>
        <v>0.94975</v>
      </c>
    </row>
    <row r="48" customFormat="false" ht="15" hidden="false" customHeight="false" outlineLevel="0" collapsed="false">
      <c r="A48" s="55" t="n">
        <v>0.5</v>
      </c>
      <c r="B48" s="51" t="n">
        <f aca="false">Dashboard!$B$14</f>
        <v>0.2</v>
      </c>
      <c r="C48" s="19" t="n">
        <f aca="false">ROUNDUP(Dashboard!$B$12/Dashboard!$B$20,0)</f>
        <v>267</v>
      </c>
      <c r="D48" s="25" t="n">
        <f aca="false">ROUND(C48*A48,0)</f>
        <v>134</v>
      </c>
      <c r="E48" s="26" t="n">
        <f aca="false">D48*Dashboard!$B$20</f>
        <v>502500</v>
      </c>
      <c r="F48" s="29" t="n">
        <f aca="false">E48*B48</f>
        <v>100500</v>
      </c>
      <c r="G48" s="14" t="n">
        <f aca="false">Dashboard!$B$12-F48</f>
        <v>899500</v>
      </c>
      <c r="H48" s="21" t="n">
        <f aca="false">G48/Dashboard!$B$12</f>
        <v>0.8995</v>
      </c>
    </row>
    <row r="49" customFormat="false" ht="15" hidden="false" customHeight="false" outlineLevel="0" collapsed="false">
      <c r="A49" s="55" t="n">
        <v>0.75</v>
      </c>
      <c r="B49" s="51" t="n">
        <f aca="false">Dashboard!$B$14</f>
        <v>0.2</v>
      </c>
      <c r="C49" s="19" t="n">
        <f aca="false">ROUNDUP(Dashboard!$B$12/Dashboard!$B$20,0)</f>
        <v>267</v>
      </c>
      <c r="D49" s="25" t="n">
        <f aca="false">ROUND(C49*A49,0)</f>
        <v>200</v>
      </c>
      <c r="E49" s="26" t="n">
        <f aca="false">D49*Dashboard!$B$20</f>
        <v>750000</v>
      </c>
      <c r="F49" s="29" t="n">
        <f aca="false">E49*B49</f>
        <v>150000</v>
      </c>
      <c r="G49" s="14" t="n">
        <f aca="false">Dashboard!$B$12-F49</f>
        <v>850000</v>
      </c>
      <c r="H49" s="21" t="n">
        <f aca="false">G49/Dashboard!$B$12</f>
        <v>0.85</v>
      </c>
    </row>
    <row r="50" customFormat="false" ht="15" hidden="false" customHeight="false" outlineLevel="0" collapsed="false">
      <c r="A50" s="55" t="n">
        <v>1</v>
      </c>
      <c r="B50" s="51" t="n">
        <f aca="false">Dashboard!$B$14</f>
        <v>0.2</v>
      </c>
      <c r="C50" s="19" t="n">
        <f aca="false">ROUNDUP(Dashboard!$B$12/Dashboard!$B$20,0)</f>
        <v>267</v>
      </c>
      <c r="D50" s="25" t="n">
        <f aca="false">ROUND(C50*A50,0)</f>
        <v>267</v>
      </c>
      <c r="E50" s="26" t="n">
        <f aca="false">D50*Dashboard!$B$20</f>
        <v>1001250</v>
      </c>
      <c r="F50" s="29" t="n">
        <f aca="false">E50*B50</f>
        <v>200250</v>
      </c>
      <c r="G50" s="14" t="n">
        <f aca="false">Dashboard!$B$12-F50</f>
        <v>799750</v>
      </c>
      <c r="H50" s="21" t="n">
        <f aca="false">G50/Dashboard!$B$12</f>
        <v>0.79975</v>
      </c>
    </row>
    <row r="52" customFormat="false" ht="15" hidden="false" customHeight="false" outlineLevel="0" collapsed="false">
      <c r="A52" s="22" t="s">
        <v>173</v>
      </c>
      <c r="B52" s="22"/>
      <c r="C52" s="22"/>
      <c r="D52" s="22"/>
      <c r="E52" s="22"/>
      <c r="F52" s="22"/>
      <c r="G52" s="22"/>
      <c r="H52" s="22"/>
    </row>
    <row r="53" customFormat="false" ht="30" hidden="false" customHeight="true" outlineLevel="0" collapsed="false">
      <c r="A53" s="23" t="s">
        <v>174</v>
      </c>
      <c r="B53" s="23"/>
      <c r="C53" s="23"/>
      <c r="D53" s="23"/>
      <c r="E53" s="23"/>
      <c r="F53" s="23"/>
      <c r="G53" s="23"/>
      <c r="H53" s="23"/>
    </row>
    <row r="54" customFormat="false" ht="30" hidden="false" customHeight="true" outlineLevel="0" collapsed="false">
      <c r="A54" s="23" t="s">
        <v>175</v>
      </c>
      <c r="B54" s="23"/>
      <c r="C54" s="23"/>
      <c r="D54" s="23"/>
      <c r="E54" s="23"/>
      <c r="F54" s="23"/>
      <c r="G54" s="23"/>
      <c r="H54" s="23"/>
    </row>
    <row r="55" customFormat="false" ht="30" hidden="false" customHeight="true" outlineLevel="0" collapsed="false">
      <c r="A55" s="23" t="s">
        <v>176</v>
      </c>
      <c r="B55" s="23"/>
      <c r="C55" s="23"/>
      <c r="D55" s="23"/>
      <c r="E55" s="23"/>
      <c r="F55" s="23"/>
      <c r="G55" s="23"/>
      <c r="H55" s="23"/>
    </row>
    <row r="56" customFormat="false" ht="30" hidden="false" customHeight="true" outlineLevel="0" collapsed="false">
      <c r="A56" s="23" t="s">
        <v>177</v>
      </c>
      <c r="B56" s="23"/>
      <c r="C56" s="23"/>
      <c r="D56" s="23"/>
      <c r="E56" s="23"/>
      <c r="F56" s="23"/>
      <c r="G56" s="23"/>
      <c r="H56" s="23"/>
    </row>
    <row r="57" customFormat="false" ht="30" hidden="false" customHeight="true" outlineLevel="0" collapsed="false">
      <c r="A57" s="23" t="s">
        <v>178</v>
      </c>
      <c r="B57" s="23"/>
      <c r="C57" s="23"/>
      <c r="D57" s="23"/>
      <c r="E57" s="23"/>
      <c r="F57" s="23"/>
      <c r="G57" s="23"/>
      <c r="H57" s="23"/>
    </row>
  </sheetData>
  <mergeCells count="13">
    <mergeCell ref="A1:H1"/>
    <mergeCell ref="A2:H2"/>
    <mergeCell ref="A4:H4"/>
    <mergeCell ref="A14:H14"/>
    <mergeCell ref="A25:H25"/>
    <mergeCell ref="A35:H35"/>
    <mergeCell ref="A44:H44"/>
    <mergeCell ref="A52:H52"/>
    <mergeCell ref="A53:H53"/>
    <mergeCell ref="A54:H54"/>
    <mergeCell ref="A55:H55"/>
    <mergeCell ref="A56:H56"/>
    <mergeCell ref="A57: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2026-05-26T20:44:13Z</dcterms:created>
  <dc:creator>openpyxl</dc:creator>
  <dc:description/>
  <dc:language>en-US</dc:language>
  <cp:lastModifiedBy/>
  <dcterms:modified xsi:type="dcterms:W3CDTF">2026-05-26T20:44:13Z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